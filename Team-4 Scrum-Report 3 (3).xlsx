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Team_Mapping" sheetId="2" r:id="rId5"/>
    <sheet state="visible" name="Sprint-Overview" sheetId="3" r:id="rId6"/>
    <sheet state="visible" name="Task_Tracking(23-02)" sheetId="4" r:id="rId7"/>
    <sheet state="visible" name="Sprint-Overview(Sample)" sheetId="5" r:id="rId8"/>
    <sheet state="visible" name="Task_Tracking(Sample)" sheetId="6" r:id="rId9"/>
  </sheets>
  <definedNames/>
  <calcPr/>
  <extLst>
    <ext uri="GoogleSheetsCustomDataVersion2">
      <go:sheetsCustomData xmlns:go="http://customooxmlschemas.google.com/" r:id="rId10" roundtripDataChecksum="BaIaQiET28QeRWW+jqXwV+6PKkNImDY3wStimW5CBpo="/>
    </ext>
  </extLst>
</workbook>
</file>

<file path=xl/sharedStrings.xml><?xml version="1.0" encoding="utf-8"?>
<sst xmlns="http://schemas.openxmlformats.org/spreadsheetml/2006/main" count="959" uniqueCount="167">
  <si>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</si>
  <si>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</si>
  <si>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</si>
  <si>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</si>
  <si>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Team_Mapping</t>
  </si>
  <si>
    <t>Table 1</t>
  </si>
  <si>
    <t>Sprint-Overview</t>
  </si>
  <si>
    <t>Task_Tracking(23-02)</t>
  </si>
  <si>
    <t>Sprint-Overview(Sample)</t>
  </si>
  <si>
    <t>Task_Tracking(Sample)</t>
  </si>
  <si>
    <t>Batch</t>
  </si>
  <si>
    <t>Team</t>
  </si>
  <si>
    <t>Member Name</t>
  </si>
  <si>
    <t>Role</t>
  </si>
  <si>
    <t>Week</t>
  </si>
  <si>
    <t>Scrum Master?</t>
  </si>
  <si>
    <t>Batch 1</t>
  </si>
  <si>
    <t>Team 4</t>
  </si>
  <si>
    <t>Thanusri.K</t>
  </si>
  <si>
    <t>DevOps Engineer</t>
  </si>
  <si>
    <t>Week 1</t>
  </si>
  <si>
    <t>Yes</t>
  </si>
  <si>
    <t>Gokul</t>
  </si>
  <si>
    <t>No</t>
  </si>
  <si>
    <t>Yashwanth</t>
  </si>
  <si>
    <t>Suwetha</t>
  </si>
  <si>
    <t>Vignesh</t>
  </si>
  <si>
    <t>Akash</t>
  </si>
  <si>
    <t>Week 2</t>
  </si>
  <si>
    <t>Week 3</t>
  </si>
  <si>
    <t>Sprint</t>
  </si>
  <si>
    <t>Sprint Goal</t>
  </si>
  <si>
    <t>Start Date</t>
  </si>
  <si>
    <t>End Date</t>
  </si>
  <si>
    <t>Deliverable</t>
  </si>
  <si>
    <t>Build a strong understanding of cloud computing basics and core cloud platform concepts</t>
  </si>
  <si>
    <t>Gained foundational knowledge of cloud computing concepts, cloud usage benefits, and key architectural differences between Amazon Web Services and Microsoft Azure.</t>
  </si>
  <si>
    <t>Understood Azure networking concepts including virtual machine connectivity, DHCP functionality, and public IP assignment.</t>
  </si>
  <si>
    <t>Successfully deployed a public virtual machine in Microsoft Azure through both the Azure Portal and Terraform, hosted a basic application, and enabled external internet access.</t>
  </si>
  <si>
    <t>Gained understanding of Azure virtual networking concepts, network architecture design, and secure VM access using Bastion Host.</t>
  </si>
  <si>
    <t>Explored and analyzed Microsoft Azure VNet configuration, network architecture components, and Bastion Host implementation for secure connectivity.</t>
  </si>
  <si>
    <t>Gain a strong understanding of cloud networking fundamentals, including VNet peering and communication between multi-tier applications.</t>
  </si>
  <si>
    <t>Develop an understanding of the OSI model, Layer 3 and Layer 4 communication, VLAN concepts, routing, NSGs, VNet peering, and transitive peering. Learn how to deploy basic 2-tier and 3-tier applications within virtual networks.</t>
  </si>
  <si>
    <t>Implement secure cross-account connectivity in Azure using VNet peering architecture.</t>
  </si>
  <si>
    <t>Develop an understanding of Azure cross-account VNet peering, Microsoft backbone infrastructure, route propagation, gateway transit, and secure private communication between isolated environments. Learn Terraform automation for peering, routing, and security configuration management.</t>
  </si>
  <si>
    <t>Implement secure hybrid connectivity between Azure and AWS using IPSec VPN tunneling protocols.</t>
  </si>
  <si>
    <t>Develop an understanding of VPN gateways, IPSec tunnels, IKE Phase 1 and Phase 2 negotiations, encryption mechanisms, and secure Azure-to-AWS hybrid communication using Site-to-Site VPN connectivity architecture.</t>
  </si>
  <si>
    <t>Implement secure Azure-to-on-premises VPN connectivity using IPSec protocols.</t>
  </si>
  <si>
    <t>Develop an understanding of Azure-to-on-premises VPN architecture, StrongSwan configuration, IPSec tunnel establishment, routing, firewall rules, and secure hybrid communication between Azure infrastructure and on-premises environments. Learn Terraform automation for the same.</t>
  </si>
  <si>
    <t>Implement scalable infrastructure with autoscaling capabilities, monitoring solutions, and proactive alerting mechanisms.</t>
  </si>
  <si>
    <t>Develop an understanding of Azure VM Scale Sets, autoscaling policies, Azure Monitor, alert rules, metric collection, and email notification mechanisms for infrastructure performance monitoring and improved operational visibility.</t>
  </si>
  <si>
    <t>Understand Azure Application Gateway, WAF, and differences between Layer 4 and Layer 7 load balancers.</t>
  </si>
  <si>
    <t>Gained knowledge of Microsoft Azure Application Gateway, WAF, and the differences between Layer 4 and Layer 7 load balancers. Understood how request routing, traffic distribution, and application-level security are handled in cloud environments.</t>
  </si>
  <si>
    <t>Implement host-based and path-based routing using Azure Application Gateway for multiple applications.</t>
  </si>
  <si>
    <t>Configured and deployed Azure Application Gateway in Microsoft Azure and integrated two backend applications with it. Implemented both host-based and path-based routing rules to forward client requests to the correct applications.</t>
  </si>
  <si>
    <t>Analyze on-premises Kubernetes cluster challenges and deploy applications on Azure Kubernetes Service using manifests.</t>
  </si>
  <si>
    <t>Explored the operational challenges and maintenance issues faced in on-premises Kubernetes cluster management and studied the advantages of using Azure Kubernetes Service in Azure. Provisioned an AKS cluster and deployed an application successfully using Kubernetes YAML manifest files</t>
  </si>
  <si>
    <t>Azure Database Management</t>
  </si>
  <si>
    <t>Understood Azure Database management and configured managed database capabilities with secure access, backup, monitoring, and performance considerations.</t>
  </si>
  <si>
    <t>Azure App Services, Azure Front Door</t>
  </si>
  <si>
    <t>Deployed and configured applications on Azure App Service with app settings, scaling options, deployment workflow, and monitoring. Configured Azure Front Door concepts for secure global routing, frontend/backend mapping, health probes, and edge protection.</t>
  </si>
  <si>
    <t>Azure Storage Account, Azure Blob Storage</t>
  </si>
  <si>
    <t>Created and reviewed Azure Storage Account settings for secure access, redundancy, private/public connectivity, and data protection. Configured Blob Storage containers with access tiers, secure access patterns, upload/download flow, and lifecycle management.</t>
  </si>
  <si>
    <t>Azure Function, Azure Entra ID</t>
  </si>
  <si>
    <t>Created and understood serverless Azure Function workflows with triggers, bindings, configuration, and execution monitoring.  Configured and reviewed Azure Entra ID identity features including user/group management, app registration, RBAC, and secure authentication.</t>
  </si>
  <si>
    <t>Azure Policy &amp; Entra ID User Management</t>
  </si>
  <si>
    <t>Created and managed users in Microsoft Entra ID and assigned Azure policies to enforce governance, compliance, and access control across Azure resources.</t>
  </si>
  <si>
    <t>App Registration &amp; RBAC Configuration</t>
  </si>
  <si>
    <t>Configured Azure App Registrations and implemented Role-Based Access Control (RBAC) to provide secure and controlled access for different users and applications.</t>
  </si>
  <si>
    <t>Cross-Subscription Access using Entra ID</t>
  </si>
  <si>
    <t>Configured and validated cross-subscription access using Microsoft Entra ID, enabling secure resource management across multiple Azure subscriptions.</t>
  </si>
  <si>
    <t>Hybrid Connectivity with Entra Connect</t>
  </si>
  <si>
    <t>Configured Microsoft Entra Connect to establish hybrid identity connectivity between on-premises Active Directory and Azure, ensuring seamless user synchronization and authentication.</t>
  </si>
  <si>
    <t>Terraform Fundamentals &amp; State Management</t>
  </si>
  <si>
    <t>Learned and implemented Terraform concepts including reusable modules, workspace management for multiple environments, drift detection and remediation, and importing existing Azure resources into Terraform state for Infrastructure as Code management.</t>
  </si>
  <si>
    <t>TaskID</t>
  </si>
  <si>
    <t>Description</t>
  </si>
  <si>
    <t>AssignedTo</t>
  </si>
  <si>
    <t>StoryPoint</t>
  </si>
  <si>
    <t>Status</t>
  </si>
  <si>
    <t>Reviewer</t>
  </si>
  <si>
    <t>Team4</t>
  </si>
  <si>
    <t>T1-001</t>
  </si>
  <si>
    <t>Thanusri</t>
  </si>
  <si>
    <t>Done</t>
  </si>
  <si>
    <t xml:space="preserve">Trainer </t>
  </si>
  <si>
    <t>T1-002</t>
  </si>
  <si>
    <t>T1-003</t>
  </si>
  <si>
    <t>T1-004</t>
  </si>
  <si>
    <t>Created VNets, subnets, route tables, and NSGs, and implemented VNet and transitive peering. Deployed 2-tier and 3-tier applications, and validated routing, traffic flow, and communication between application tiers using Terraform.</t>
  </si>
  <si>
    <t>T1-005</t>
  </si>
  <si>
    <t>Configured Azure subscriptions and cross-account VNet peering. Implemented secure private communication using Microsoft backbone infrastructure, routing, gateway transit, and NSG rules, and validated end-to-end connectivity.</t>
  </si>
  <si>
    <t>T1-006</t>
  </si>
  <si>
    <t>Configured Azure VPN Gateway and AWS Customer Gateway, and implemented IPSec tunnels, routing, and shared keys. Validated tunnel establishment, packet transmission, and secure hybrid communication between Azure and AWS environments.</t>
  </si>
  <si>
    <t>T1-007</t>
  </si>
  <si>
    <t>Installed and configured StrongSwan VPN on Linux. Implemented Azure VPN Gateway, IPSec parameters, routing, and firewall rules, and validated tunnel stability, secure communication, and hybrid connectivity troubleshooting activities.</t>
  </si>
  <si>
    <t>T1-008</t>
  </si>
  <si>
    <t>Provisioned VM Scale Sets with autoscaling policies and load balancer integration. Configured Azure Monitor, metric alerts, action groups, and email notifications, and performed traffic testing, scaling validation, and Terraform-based monitoring automation.</t>
  </si>
  <si>
    <t>T1-009</t>
  </si>
  <si>
    <t>Learned secure Azure traffic management using WAF and advanced load balancin</t>
  </si>
  <si>
    <t>T1-010</t>
  </si>
  <si>
    <t>Configured Azure Application Gateway routing for multiple backend application deployments.</t>
  </si>
  <si>
    <t>Tainer</t>
  </si>
  <si>
    <t>T1-011</t>
  </si>
  <si>
    <t>Explored AKS deployments and challenges managing on-premises Kubernetes infrastructure</t>
  </si>
  <si>
    <t>Explored Azure Database management concepts including provisioning, connectivity, backups, scaling, monitoring, and security for managed database services.</t>
  </si>
  <si>
    <t>T1-013</t>
  </si>
  <si>
    <t>Explored Azure Front Door for global application delivery, routing, SSL termination, WAF integration, and high availability.</t>
  </si>
  <si>
    <t>T1-014</t>
  </si>
  <si>
    <t>T1-015</t>
  </si>
  <si>
    <t>T1-016</t>
  </si>
  <si>
    <t>T1-017</t>
  </si>
  <si>
    <t>T1-018</t>
  </si>
  <si>
    <t>T1-019</t>
  </si>
  <si>
    <t>T1-020</t>
  </si>
  <si>
    <t>Sprint 1</t>
  </si>
  <si>
    <t>VM &amp; Docker Setup</t>
  </si>
  <si>
    <t>App running in Docker</t>
  </si>
  <si>
    <t>Sprint 2</t>
  </si>
  <si>
    <t>CI/CD Implementation</t>
  </si>
  <si>
    <t>Working Jenkins pipeline</t>
  </si>
  <si>
    <t>Sprint 3</t>
  </si>
  <si>
    <t>Terraform &amp; Infra</t>
  </si>
  <si>
    <t>Infra provisioned via Terraform</t>
  </si>
  <si>
    <t>Sprint 4</t>
  </si>
  <si>
    <t>Kubernetes Deployment</t>
  </si>
  <si>
    <t>App deployed in K8s</t>
  </si>
  <si>
    <t>Task ID</t>
  </si>
  <si>
    <t>Task Description</t>
  </si>
  <si>
    <t>Assigned To</t>
  </si>
  <si>
    <t>Story Points</t>
  </si>
  <si>
    <t>Team 1</t>
  </si>
  <si>
    <t>Install Ubuntu on EC2 and configure SSH</t>
  </si>
  <si>
    <t>Arun Simon</t>
  </si>
  <si>
    <t>Trainer</t>
  </si>
  <si>
    <t>Setup Git and push sample project to GitHub</t>
  </si>
  <si>
    <t>Sathvik NB Math</t>
  </si>
  <si>
    <t>In Progress</t>
  </si>
  <si>
    <t>Install Docker and run nginx container</t>
  </si>
  <si>
    <t>Preethi TK</t>
  </si>
  <si>
    <t>Code Review</t>
  </si>
  <si>
    <t>Team 2</t>
  </si>
  <si>
    <t>T2-001</t>
  </si>
  <si>
    <t>Launch EC2 and configure security groups</t>
  </si>
  <si>
    <t>T2-002</t>
  </si>
  <si>
    <t>Build Docker image for sample Java app</t>
  </si>
  <si>
    <t>Aswin</t>
  </si>
  <si>
    <t>T2-003</t>
  </si>
  <si>
    <t>Push Docker image to DockerHub</t>
  </si>
  <si>
    <t>Johaan</t>
  </si>
  <si>
    <t>To Do</t>
  </si>
  <si>
    <t>-</t>
  </si>
  <si>
    <t>Team 3</t>
  </si>
  <si>
    <t>T3-001</t>
  </si>
  <si>
    <t>Setup Jenkins on EC2</t>
  </si>
  <si>
    <t>Neeraj</t>
  </si>
  <si>
    <t>Blocked</t>
  </si>
  <si>
    <t>T3-002</t>
  </si>
  <si>
    <t>Create basic CI pipeline (Build Stage)</t>
  </si>
  <si>
    <t>Jayadev</t>
  </si>
  <si>
    <t>T4-001</t>
  </si>
  <si>
    <t>Write Terraform script to create EC2</t>
  </si>
  <si>
    <t>Chriss Philip Saji</t>
  </si>
  <si>
    <t>T4-002</t>
  </si>
  <si>
    <t>Configure remote backend for Terraform</t>
  </si>
  <si>
    <t>Abhinav</t>
  </si>
  <si>
    <t>Backlog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</si>
</sst>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
    <numFmt numFmtId="165" formatCode="d-mmm"/>
  </numFmts>
  <fonts count="13">
    <font>
      <sz val="11.0"/>
      <color rgb="FF000000"/>
      <name val="Calibri"/>
      <scheme val="minor"/>
    </font>
    <font>
      <sz val="12.0"/>
      <color rgb="FF000000"/>
      <name val="Calibri"/>
    </font>
    <font>
      <sz val="14.0"/>
      <color rgb="FF000000"/>
      <name val="Calibri"/>
    </font>
    <font>
      <u/>
      <sz val="12.0"/>
      <color rgb="FF0000FF"/>
      <name val="Calibri"/>
    </font>
    <font>
      <sz val="11.0"/>
      <color rgb="FF000000"/>
      <name val="Calibri"/>
    </font>
    <font>
      <sz val="11.0"/>
      <color theme="1"/>
      <name val="Calibri"/>
    </font>
    <font>
      <b/>
      <sz val="11.0"/>
      <color rgb="FF000000"/>
      <name val="Calibri"/>
    </font>
    <font>
      <sz val="12.0"/>
      <color rgb="FF000000"/>
      <name val="Times"/>
    </font>
    <font>
      <sz val="12.0"/>
      <color rgb="FF000000"/>
      <name val="Times New Roman"/>
    </font>
    <font>
      <sz val="11.0"/>
      <color rgb="FF000000"/>
      <name val="Times New Roman"/>
    </font>
    <font>
      <b/>
      <sz val="12.0"/>
      <color rgb="FF000000"/>
      <name val="Times New Roman"/>
    </font>
    <font>
      <sz val="12.0"/>
      <color rgb="FF242424"/>
      <name val="Times New Roman"/>
    </font>
    <font>
      <sz val="12.0"/>
      <color theme="1"/>
      <name val="Times New Roman"/>
    </font>
  </fonts>
  <fills count="6">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92D050"/>
        <bgColor rgb="FF92D050"/>
      </patternFill>
    </fill>
    <fill>
      <patternFill patternType="solid">
        <fgColor rgb="FFFFFFFF"/>
        <bgColor rgb="FFFFFFFF"/>
      </patternFill>
    </fill>
  </fills>
  <borders count="24">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AAAAAA"/>
      </bottom>
    </border>
    <border>
      <left style="thin">
        <color rgb="FF000000"/>
      </left>
      <right style="thin">
        <color rgb="FFAAAAAA"/>
      </right>
      <top style="thin">
        <color rgb="FF000000"/>
      </top>
      <bottom style="thin">
        <color rgb="FFAAAAAA"/>
      </bottom>
    </border>
    <border>
      <left style="thin">
        <color rgb="FF000000"/>
      </left>
      <right style="thin">
        <color rgb="FF000000"/>
      </right>
      <top style="thin">
        <color rgb="FFAAAAAA"/>
      </top>
      <bottom style="thin">
        <color rgb="FFAAAAAA"/>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AAAAAA"/>
      </top>
      <bottom style="thin">
        <color rgb="FF000000"/>
      </bottom>
    </border>
    <border>
      <left style="thin">
        <color rgb="FF000000"/>
      </left>
      <right style="thin">
        <color rgb="FFAAAAAA"/>
      </right>
      <top style="thin">
        <color rgb="FFAAAAAA"/>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AAAAAA"/>
      </right>
      <top style="thin">
        <color rgb="FF000000"/>
      </top>
      <bottom style="thin">
        <color rgb="FF000000"/>
      </bottom>
    </border>
    <border>
      <left style="thin">
        <color rgb="FFAAAAAA"/>
      </left>
      <right style="thin">
        <color rgb="FFAAAAAA"/>
      </right>
      <top style="thin">
        <color rgb="FFAAAAAA"/>
      </top>
      <bottom style="thin">
        <color rgb="FFAAAAAA"/>
      </bottom>
    </border>
    <border>
      <left style="thin">
        <color rgb="FFAAAAAA"/>
      </left>
      <right style="thin">
        <color rgb="FF000000"/>
      </right>
      <top style="thin">
        <color rgb="FF000000"/>
      </top>
      <bottom style="thin">
        <color rgb="FFAAAAAA"/>
      </bottom>
    </border>
    <border>
      <left style="thin">
        <color rgb="FFAAAAAA"/>
      </left>
      <right style="thin">
        <color rgb="FF000000"/>
      </right>
      <top style="thin">
        <color rgb="FFAAAAAA"/>
      </top>
      <bottom style="thin">
        <color rgb="FFAAAAAA"/>
      </bottom>
    </border>
    <border>
      <left style="thin">
        <color rgb="FFAAAAAA"/>
      </left>
      <right style="thin">
        <color rgb="FF000000"/>
      </right>
      <top style="thin">
        <color rgb="FFAAAAAA"/>
      </top>
      <bottom style="thin">
        <color rgb="FF000000"/>
      </bottom>
    </border>
    <border>
      <left style="thin">
        <color rgb="FFAAAAAA"/>
      </left>
      <right style="thin">
        <color rgb="FF000000"/>
      </right>
      <top style="thin">
        <color rgb="FF000000"/>
      </top>
      <bottom style="thin">
        <color rgb="FF000000"/>
      </bottom>
    </border>
    <border>
      <left style="thin">
        <color rgb="FFAAAAAA"/>
      </left>
      <right style="thin">
        <color rgb="FF000000"/>
      </right>
      <bottom style="thin">
        <color rgb="FF000000"/>
      </bottom>
    </border>
    <border>
      <left style="thin">
        <color rgb="FF000000"/>
      </left>
      <right style="thin">
        <color rgb="FFAAAAAA"/>
      </right>
      <bottom style="thin">
        <color rgb="FFAAAAAA"/>
      </bottom>
    </border>
    <border>
      <left style="thin">
        <color rgb="FF000000"/>
      </left>
      <right style="thin">
        <color rgb="FF000000"/>
      </right>
      <bottom style="thin">
        <color rgb="FFAAAAAA"/>
      </bottom>
    </border>
    <border>
      <left style="thin">
        <color rgb="FF000000"/>
      </left>
      <right style="thin">
        <color rgb="FFAAAAAA"/>
      </right>
      <top style="thin">
        <color rgb="FFAAAAAA"/>
      </top>
    </border>
    <border>
      <right style="thin">
        <color rgb="FF000000"/>
      </right>
      <top style="thin">
        <color rgb="FFAAAAAA"/>
      </top>
      <bottom style="thin">
        <color rgb="FFAAAAAA"/>
      </bottom>
    </border>
    <border>
      <left style="thin">
        <color rgb="FF000000"/>
      </left>
      <right style="thin">
        <color rgb="FF000000"/>
      </right>
      <top style="thin">
        <color rgb="FFAAAAAA"/>
      </top>
    </border>
    <border>
      <left style="thin">
        <color rgb="FFAAAAAA"/>
      </left>
      <right style="thin">
        <color rgb="FFAAAAAA"/>
      </right>
      <top style="thin">
        <color rgb="FF000000"/>
      </top>
      <bottom style="thin">
        <color rgb="FFAAAAAA"/>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xf>
    <xf borderId="1" fillId="2" fontId="1" numFmtId="0" xfId="0" applyAlignment="1" applyBorder="1" applyFill="1" applyFont="1">
      <alignment horizontal="left"/>
    </xf>
    <xf borderId="1" fillId="3" fontId="1" numFmtId="0" xfId="0" applyAlignment="1" applyBorder="1" applyFill="1" applyFont="1">
      <alignment horizontal="left"/>
    </xf>
    <xf borderId="1" fillId="3" fontId="3" numFmtId="0" xfId="0" applyAlignment="1" applyBorder="1" applyFont="1">
      <alignment horizontal="left"/>
    </xf>
    <xf borderId="2" fillId="4" fontId="4" numFmtId="49" xfId="0" applyBorder="1" applyFill="1" applyFont="1" applyNumberFormat="1"/>
    <xf borderId="0" fillId="0" fontId="4" numFmtId="0" xfId="0" applyFont="1"/>
    <xf borderId="2" fillId="0" fontId="4" numFmtId="0" xfId="0" applyBorder="1" applyFont="1"/>
    <xf borderId="2" fillId="0" fontId="4" numFmtId="49" xfId="0" applyBorder="1" applyFont="1" applyNumberFormat="1"/>
    <xf borderId="2" fillId="0" fontId="4" numFmtId="49" xfId="0" applyAlignment="1" applyBorder="1" applyFont="1" applyNumberFormat="1">
      <alignment readingOrder="0"/>
    </xf>
    <xf borderId="2" fillId="0" fontId="4" numFmtId="0" xfId="0" applyAlignment="1" applyBorder="1" applyFont="1">
      <alignment readingOrder="0"/>
    </xf>
    <xf borderId="2" fillId="0" fontId="5" numFmtId="0" xfId="0" applyAlignment="1" applyBorder="1" applyFont="1">
      <alignment vertical="bottom"/>
    </xf>
    <xf borderId="2" fillId="0" fontId="5" numFmtId="0" xfId="0" applyAlignment="1" applyBorder="1" applyFont="1">
      <alignment readingOrder="0" vertical="bottom"/>
    </xf>
    <xf borderId="2" fillId="4" fontId="6" numFmtId="49" xfId="0" applyAlignment="1" applyBorder="1" applyFont="1" applyNumberFormat="1">
      <alignment horizontal="center" shrinkToFit="0" vertical="center" wrapText="1"/>
    </xf>
    <xf borderId="2" fillId="5" fontId="4" numFmtId="0" xfId="0" applyAlignment="1" applyBorder="1" applyFill="1" applyFont="1">
      <alignment shrinkToFit="0" vertical="center" wrapText="1"/>
    </xf>
    <xf borderId="3" fillId="0" fontId="7" numFmtId="49" xfId="0" applyAlignment="1" applyBorder="1" applyFont="1" applyNumberFormat="1">
      <alignment horizontal="left" readingOrder="1"/>
    </xf>
    <xf borderId="2" fillId="5" fontId="4" numFmtId="16" xfId="0" applyAlignment="1" applyBorder="1" applyFont="1" applyNumberFormat="1">
      <alignment shrinkToFit="0" vertical="center" wrapText="1"/>
    </xf>
    <xf borderId="4" fillId="0" fontId="7" numFmtId="49" xfId="0" applyAlignment="1" applyBorder="1" applyFont="1" applyNumberFormat="1">
      <alignment horizontal="left" readingOrder="1"/>
    </xf>
    <xf borderId="5" fillId="0" fontId="7" numFmtId="49" xfId="0" applyAlignment="1" applyBorder="1" applyFont="1" applyNumberFormat="1">
      <alignment horizontal="left" readingOrder="1"/>
    </xf>
    <xf borderId="6" fillId="0" fontId="7" numFmtId="49" xfId="0" applyAlignment="1" applyBorder="1" applyFont="1" applyNumberFormat="1">
      <alignment horizontal="left" readingOrder="1"/>
    </xf>
    <xf borderId="7" fillId="0" fontId="7" numFmtId="49" xfId="0" applyAlignment="1" applyBorder="1" applyFont="1" applyNumberFormat="1">
      <alignment horizontal="left" readingOrder="1"/>
    </xf>
    <xf borderId="8" fillId="0" fontId="7" numFmtId="49" xfId="0" applyAlignment="1" applyBorder="1" applyFont="1" applyNumberFormat="1">
      <alignment horizontal="left" readingOrder="1"/>
    </xf>
    <xf borderId="2" fillId="0" fontId="8" numFmtId="0" xfId="0" applyBorder="1" applyFont="1"/>
    <xf borderId="9" fillId="0" fontId="8" numFmtId="0" xfId="0" applyBorder="1" applyFont="1"/>
    <xf borderId="2" fillId="0" fontId="4" numFmtId="16" xfId="0" applyBorder="1" applyFont="1" applyNumberFormat="1"/>
    <xf borderId="0" fillId="0" fontId="8" numFmtId="0" xfId="0" applyFont="1"/>
    <xf borderId="10" fillId="0" fontId="8" numFmtId="0" xfId="0" applyBorder="1" applyFont="1"/>
    <xf borderId="0" fillId="0" fontId="9" numFmtId="0" xfId="0" applyFont="1"/>
    <xf borderId="11" fillId="0" fontId="4" numFmtId="0" xfId="0" applyBorder="1" applyFont="1"/>
    <xf borderId="2" fillId="0" fontId="9" numFmtId="0" xfId="0" applyBorder="1" applyFont="1"/>
    <xf borderId="2" fillId="0" fontId="5" numFmtId="16" xfId="0" applyAlignment="1" applyBorder="1" applyFont="1" applyNumberFormat="1">
      <alignment vertical="bottom"/>
    </xf>
    <xf borderId="2" fillId="0" fontId="9" numFmtId="0" xfId="0" applyAlignment="1" applyBorder="1" applyFont="1">
      <alignment readingOrder="0"/>
    </xf>
    <xf borderId="2" fillId="0" fontId="4" numFmtId="164" xfId="0" applyAlignment="1" applyBorder="1" applyFont="1" applyNumberFormat="1">
      <alignment readingOrder="0"/>
    </xf>
    <xf borderId="2" fillId="0" fontId="4" numFmtId="165" xfId="0" applyAlignment="1" applyBorder="1" applyFont="1" applyNumberFormat="1">
      <alignment readingOrder="0"/>
    </xf>
    <xf borderId="2" fillId="4" fontId="10" numFmtId="49" xfId="0" applyAlignment="1" applyBorder="1" applyFont="1" applyNumberFormat="1">
      <alignment horizontal="left" vertical="center"/>
    </xf>
    <xf borderId="2" fillId="4" fontId="10" numFmtId="49" xfId="0" applyBorder="1" applyFont="1" applyNumberFormat="1"/>
    <xf borderId="6" fillId="0" fontId="8" numFmtId="0" xfId="0" applyBorder="1" applyFont="1"/>
    <xf borderId="12" fillId="0" fontId="8" numFmtId="0" xfId="0" applyBorder="1" applyFont="1"/>
    <xf borderId="2" fillId="0" fontId="8" numFmtId="49" xfId="0" applyBorder="1" applyFont="1" applyNumberFormat="1"/>
    <xf borderId="3" fillId="0" fontId="11" numFmtId="49" xfId="0" applyBorder="1" applyFont="1" applyNumberFormat="1"/>
    <xf borderId="2" fillId="0" fontId="8" numFmtId="49" xfId="0" applyAlignment="1" applyBorder="1" applyFont="1" applyNumberFormat="1">
      <alignment horizontal="left" readingOrder="1"/>
    </xf>
    <xf borderId="13" fillId="0" fontId="8" numFmtId="49" xfId="0" applyAlignment="1" applyBorder="1" applyFont="1" applyNumberFormat="1">
      <alignment horizontal="left" readingOrder="1"/>
    </xf>
    <xf borderId="14" fillId="0" fontId="8" numFmtId="49" xfId="0" applyAlignment="1" applyBorder="1" applyFont="1" applyNumberFormat="1">
      <alignment horizontal="left" readingOrder="1"/>
    </xf>
    <xf borderId="6" fillId="0" fontId="11" numFmtId="49" xfId="0" applyBorder="1" applyFont="1" applyNumberFormat="1"/>
    <xf borderId="15" fillId="0" fontId="8" numFmtId="49" xfId="0" applyAlignment="1" applyBorder="1" applyFont="1" applyNumberFormat="1">
      <alignment horizontal="left" readingOrder="1"/>
    </xf>
    <xf borderId="8" fillId="0" fontId="11" numFmtId="49" xfId="0" applyBorder="1" applyFont="1" applyNumberFormat="1"/>
    <xf borderId="16" fillId="0" fontId="8" numFmtId="0" xfId="0" applyBorder="1" applyFont="1"/>
    <xf borderId="17" fillId="0" fontId="8" numFmtId="0" xfId="0" applyBorder="1" applyFont="1"/>
    <xf borderId="3" fillId="0" fontId="8" numFmtId="0" xfId="0" applyBorder="1" applyFont="1"/>
    <xf borderId="18" fillId="0" fontId="8" numFmtId="0" xfId="0" applyBorder="1" applyFont="1"/>
    <xf borderId="14" fillId="0" fontId="8" numFmtId="0" xfId="0" applyBorder="1" applyFont="1"/>
    <xf borderId="19" fillId="0" fontId="8" numFmtId="0" xfId="0" applyBorder="1" applyFont="1"/>
    <xf borderId="5" fillId="0" fontId="8" numFmtId="0" xfId="0" applyBorder="1" applyFont="1"/>
    <xf borderId="20" fillId="0" fontId="8" numFmtId="0" xfId="0" applyBorder="1" applyFont="1"/>
    <xf borderId="21" fillId="0" fontId="8" numFmtId="0" xfId="0" applyBorder="1" applyFont="1"/>
    <xf borderId="22" fillId="0" fontId="8" numFmtId="0" xfId="0" applyBorder="1" applyFont="1"/>
    <xf borderId="3" fillId="0" fontId="8" numFmtId="0" xfId="0" applyAlignment="1" applyBorder="1" applyFont="1">
      <alignment readingOrder="0"/>
    </xf>
    <xf borderId="2" fillId="0" fontId="8" numFmtId="0" xfId="0" applyAlignment="1" applyBorder="1" applyFont="1">
      <alignment readingOrder="0"/>
    </xf>
    <xf borderId="21" fillId="0" fontId="12" numFmtId="0" xfId="0" applyAlignment="1" applyBorder="1" applyFont="1">
      <alignment vertical="bottom"/>
    </xf>
    <xf borderId="21" fillId="0" fontId="12" numFmtId="0" xfId="0" applyAlignment="1" applyBorder="1" applyFont="1">
      <alignment vertical="bottom"/>
    </xf>
    <xf borderId="3" fillId="0" fontId="12" numFmtId="0" xfId="0" applyAlignment="1" applyBorder="1" applyFont="1">
      <alignment horizontal="right" vertical="bottom"/>
    </xf>
    <xf borderId="3" fillId="0" fontId="12" numFmtId="0" xfId="0" applyAlignment="1" applyBorder="1" applyFont="1">
      <alignment vertical="bottom"/>
    </xf>
    <xf borderId="2" fillId="0" fontId="12" numFmtId="0" xfId="0" applyAlignment="1" applyBorder="1" applyFont="1">
      <alignment vertical="bottom"/>
    </xf>
    <xf borderId="3" fillId="0" fontId="12" numFmtId="0" xfId="0" applyAlignment="1" applyBorder="1" applyFont="1">
      <alignment horizontal="right" readingOrder="0" vertical="bottom"/>
    </xf>
    <xf borderId="2" fillId="0" fontId="12" numFmtId="0" xfId="0" applyAlignment="1" applyBorder="1" applyFont="1">
      <alignment readingOrder="0" vertical="bottom"/>
    </xf>
    <xf borderId="6" fillId="0" fontId="12" numFmtId="0" xfId="0" applyAlignment="1" applyBorder="1" applyFont="1">
      <alignment vertical="bottom"/>
    </xf>
    <xf borderId="2" fillId="5" fontId="4" numFmtId="49" xfId="0" applyAlignment="1" applyBorder="1" applyFont="1" applyNumberFormat="1">
      <alignment shrinkToFit="0" vertical="center" wrapText="1"/>
    </xf>
    <xf borderId="23" fillId="0" fontId="4" numFmtId="0" xfId="0" applyBorder="1" applyFont="1"/>
    <xf borderId="12" fillId="0" fontId="4" numFmtId="0" xfId="0" applyBorder="1" applyFont="1"/>
    <xf borderId="2" fillId="5" fontId="6" numFmtId="49"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idden="1"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Team_Mapping" location="Team_Mapping!R1C1" ref="D10"/>
    <hyperlink display="Sprint-Overview" location="'Sprint-Overview'!R1C1" ref="D12"/>
    <hyperlink display="Task_Tracking(23-02)" location="'Task_Tracking(23-02)'!R1C1" ref="D14"/>
    <hyperlink display="Sprint-Overview(Sample)" location="'Sprint-Overview(Sample)'!R1C1" ref="D16"/>
    <hyperlink display="Task_Tracking(Sample)" location="'Task_Tracking(Sample)'!R1C1" ref="D18"/>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86"/>
    <col customWidth="1" min="2" max="2" width="17.43"/>
    <col customWidth="1" min="3" max="3" width="20.43"/>
    <col customWidth="1" min="4" max="5" width="18.43"/>
    <col customWidth="1" min="6" max="6" width="23.57"/>
    <col customWidth="1" min="7" max="26" width="12.57"/>
  </cols>
  <sheetData>
    <row r="1" ht="14.25" customHeight="1">
      <c r="A1" s="6" t="s">
        <v>10</v>
      </c>
      <c r="B1" s="6" t="s">
        <v>11</v>
      </c>
      <c r="C1" s="6" t="s">
        <v>12</v>
      </c>
      <c r="D1" s="6" t="s">
        <v>13</v>
      </c>
      <c r="E1" s="6" t="s">
        <v>14</v>
      </c>
      <c r="F1" s="6" t="s">
        <v>15</v>
      </c>
      <c r="G1" s="7"/>
      <c r="H1" s="7"/>
      <c r="I1" s="7"/>
      <c r="J1" s="7"/>
      <c r="K1" s="7"/>
      <c r="L1" s="7"/>
      <c r="M1" s="7"/>
      <c r="N1" s="7"/>
      <c r="O1" s="7"/>
      <c r="P1" s="7"/>
      <c r="Q1" s="7"/>
      <c r="R1" s="7"/>
      <c r="S1" s="7"/>
      <c r="T1" s="7"/>
      <c r="U1" s="7"/>
      <c r="V1" s="7"/>
      <c r="W1" s="7"/>
      <c r="X1" s="7"/>
      <c r="Y1" s="7"/>
      <c r="Z1" s="7"/>
    </row>
    <row r="2" ht="14.25" customHeight="1">
      <c r="A2" s="8" t="str">
        <f>IFERROR(__xludf.DUMMYFUNCTION("AI(""Fill an appropriate value for this cell based on the table context"")"),"Batch 1")</f>
        <v>Batch 1</v>
      </c>
      <c r="B2" s="8"/>
      <c r="C2" s="8"/>
      <c r="D2" s="8"/>
      <c r="E2" s="8"/>
      <c r="F2" s="8" t="str">
        <f>IFERROR(__xludf.DUMMYFUNCTION("AI(""Fill an appropriate value for this cell based on the table context"")"),"No")</f>
        <v>No</v>
      </c>
      <c r="G2" s="7"/>
      <c r="H2" s="7"/>
      <c r="I2" s="7"/>
      <c r="J2" s="7"/>
      <c r="K2" s="7"/>
      <c r="L2" s="7"/>
      <c r="M2" s="7"/>
      <c r="N2" s="7"/>
      <c r="O2" s="7"/>
      <c r="P2" s="7"/>
      <c r="Q2" s="7"/>
      <c r="R2" s="7"/>
      <c r="S2" s="7"/>
      <c r="T2" s="7"/>
      <c r="U2" s="7"/>
      <c r="V2" s="7"/>
      <c r="W2" s="7"/>
      <c r="X2" s="7"/>
      <c r="Y2" s="7"/>
      <c r="Z2" s="7"/>
    </row>
    <row r="3" ht="14.25" customHeight="1">
      <c r="A3" s="8" t="str">
        <f>IFERROR(__xludf.DUMMYFUNCTION("AI(""Fill an appropriate value for this cell based on the table context"")"),"Batch 1")</f>
        <v>Batch 1</v>
      </c>
      <c r="B3" s="8"/>
      <c r="C3" s="8"/>
      <c r="D3" s="8"/>
      <c r="E3" s="8"/>
      <c r="F3" s="8" t="str">
        <f>IFERROR(__xludf.DUMMYFUNCTION("AI(""Fill an appropriate value for this cell based on the table context"")"),"No")</f>
        <v>No</v>
      </c>
      <c r="G3" s="7"/>
      <c r="H3" s="7"/>
      <c r="I3" s="7"/>
      <c r="J3" s="7"/>
      <c r="K3" s="7"/>
      <c r="L3" s="7"/>
      <c r="M3" s="7"/>
      <c r="N3" s="7"/>
      <c r="O3" s="7"/>
      <c r="P3" s="7"/>
      <c r="Q3" s="7"/>
      <c r="R3" s="7"/>
      <c r="S3" s="7"/>
      <c r="T3" s="7"/>
      <c r="U3" s="7"/>
      <c r="V3" s="7"/>
      <c r="W3" s="7"/>
      <c r="X3" s="7"/>
      <c r="Y3" s="7"/>
      <c r="Z3" s="7"/>
    </row>
    <row r="4" ht="14.25" customHeight="1">
      <c r="A4" s="8" t="str">
        <f>IFERROR(__xludf.DUMMYFUNCTION("AI(""Fill an appropriate value for this cell based on the table context"")"),"Batch 1")</f>
        <v>Batch 1</v>
      </c>
      <c r="B4" s="8"/>
      <c r="C4" s="8"/>
      <c r="D4" s="8"/>
      <c r="E4" s="8"/>
      <c r="F4" s="8" t="str">
        <f>IFERROR(__xludf.DUMMYFUNCTION("AI(""Fill an appropriate value for this cell based on the table context"")"),"=AI(""Fill an appropriate value for this cell based on the table context"")")</f>
        <v>=AI("Fill an appropriate value for this cell based on the table context")</v>
      </c>
      <c r="G4" s="7"/>
      <c r="H4" s="7"/>
      <c r="I4" s="7"/>
      <c r="J4" s="7"/>
      <c r="K4" s="7"/>
      <c r="L4" s="7"/>
      <c r="M4" s="7"/>
      <c r="N4" s="7"/>
      <c r="O4" s="7"/>
      <c r="P4" s="7"/>
      <c r="Q4" s="7"/>
      <c r="R4" s="7"/>
      <c r="S4" s="7"/>
      <c r="T4" s="7"/>
      <c r="U4" s="7"/>
      <c r="V4" s="7"/>
      <c r="W4" s="7"/>
      <c r="X4" s="7"/>
      <c r="Y4" s="7"/>
      <c r="Z4" s="7"/>
    </row>
    <row r="5" ht="14.25" customHeight="1">
      <c r="A5" s="8" t="str">
        <f>IFERROR(__xludf.DUMMYFUNCTION("AI(""Fill an appropriate value for this cell based on the table context"")"),"Batch 1")</f>
        <v>Batch 1</v>
      </c>
      <c r="B5" s="8"/>
      <c r="C5" s="8"/>
      <c r="D5" s="8"/>
      <c r="E5" s="8"/>
      <c r="F5" s="8" t="str">
        <f>IFERROR(__xludf.DUMMYFUNCTION("AI(""Fill an appropriate value for this cell based on the table context"")"),"No")</f>
        <v>No</v>
      </c>
      <c r="G5" s="7"/>
      <c r="H5" s="7"/>
      <c r="I5" s="7"/>
      <c r="J5" s="7"/>
      <c r="K5" s="7"/>
      <c r="L5" s="7"/>
      <c r="M5" s="7"/>
      <c r="N5" s="7"/>
      <c r="O5" s="7"/>
      <c r="P5" s="7"/>
      <c r="Q5" s="7"/>
      <c r="R5" s="7"/>
      <c r="S5" s="7"/>
      <c r="T5" s="7"/>
      <c r="U5" s="7"/>
      <c r="V5" s="7"/>
      <c r="W5" s="7"/>
      <c r="X5" s="7"/>
      <c r="Y5" s="7"/>
      <c r="Z5" s="7"/>
    </row>
    <row r="6" ht="14.25" customHeight="1">
      <c r="A6" s="8" t="str">
        <f>IFERROR(__xludf.DUMMYFUNCTION("AI(""Fill an appropriate value for this cell based on the table context"")"),"Batch 1")</f>
        <v>Batch 1</v>
      </c>
      <c r="B6" s="8"/>
      <c r="C6" s="8"/>
      <c r="D6" s="8"/>
      <c r="E6" s="8"/>
      <c r="F6" s="8" t="str">
        <f>IFERROR(__xludf.DUMMYFUNCTION("AI(""Fill an appropriate value for this cell based on the table context"")"),"No")</f>
        <v>No</v>
      </c>
      <c r="G6" s="7"/>
      <c r="H6" s="7"/>
      <c r="I6" s="7"/>
      <c r="J6" s="7"/>
      <c r="K6" s="7"/>
      <c r="L6" s="7"/>
      <c r="M6" s="7"/>
      <c r="N6" s="7"/>
      <c r="O6" s="7"/>
      <c r="P6" s="7"/>
      <c r="Q6" s="7"/>
      <c r="R6" s="7"/>
      <c r="S6" s="7"/>
      <c r="T6" s="7"/>
      <c r="U6" s="7"/>
      <c r="V6" s="7"/>
      <c r="W6" s="7"/>
      <c r="X6" s="7"/>
      <c r="Y6" s="7"/>
      <c r="Z6" s="7"/>
    </row>
    <row r="7" ht="14.25" customHeight="1">
      <c r="A7" s="8" t="str">
        <f>IFERROR(__xludf.DUMMYFUNCTION("AI(""Fill an appropriate value for this cell based on the table context"")"),"Batch 1")</f>
        <v>Batch 1</v>
      </c>
      <c r="B7" s="8"/>
      <c r="C7" s="8"/>
      <c r="D7" s="8"/>
      <c r="E7" s="8"/>
      <c r="F7" s="8" t="str">
        <f>IFERROR(__xludf.DUMMYFUNCTION("AI(""Fill an appropriate value for this cell based on the table context"")"),"No")</f>
        <v>No</v>
      </c>
      <c r="G7" s="7"/>
      <c r="H7" s="7"/>
      <c r="I7" s="7"/>
      <c r="J7" s="7"/>
      <c r="K7" s="7"/>
      <c r="L7" s="7"/>
      <c r="M7" s="7"/>
      <c r="N7" s="7"/>
      <c r="O7" s="7"/>
      <c r="P7" s="7"/>
      <c r="Q7" s="7"/>
      <c r="R7" s="7"/>
      <c r="S7" s="7"/>
      <c r="T7" s="7"/>
      <c r="U7" s="7"/>
      <c r="V7" s="7"/>
      <c r="W7" s="7"/>
      <c r="X7" s="7"/>
      <c r="Y7" s="7"/>
      <c r="Z7" s="7"/>
    </row>
    <row r="8" ht="14.25" customHeight="1">
      <c r="A8" s="9" t="s">
        <v>16</v>
      </c>
      <c r="B8" s="9" t="s">
        <v>17</v>
      </c>
      <c r="C8" s="9" t="s">
        <v>18</v>
      </c>
      <c r="D8" s="9" t="s">
        <v>19</v>
      </c>
      <c r="E8" s="9" t="s">
        <v>20</v>
      </c>
      <c r="F8" s="9" t="s">
        <v>21</v>
      </c>
      <c r="G8" s="7"/>
      <c r="H8" s="7"/>
      <c r="I8" s="7"/>
      <c r="J8" s="7"/>
      <c r="K8" s="7"/>
      <c r="L8" s="7"/>
      <c r="M8" s="7"/>
      <c r="N8" s="7"/>
      <c r="O8" s="7"/>
      <c r="P8" s="7"/>
      <c r="Q8" s="7"/>
      <c r="R8" s="7"/>
      <c r="S8" s="7"/>
      <c r="T8" s="7"/>
      <c r="U8" s="7"/>
      <c r="V8" s="7"/>
      <c r="W8" s="7"/>
      <c r="X8" s="7"/>
      <c r="Y8" s="7"/>
      <c r="Z8" s="7"/>
    </row>
    <row r="9" ht="14.25" customHeight="1">
      <c r="A9" s="9" t="s">
        <v>16</v>
      </c>
      <c r="B9" s="9" t="s">
        <v>17</v>
      </c>
      <c r="C9" s="9" t="s">
        <v>22</v>
      </c>
      <c r="D9" s="9" t="s">
        <v>19</v>
      </c>
      <c r="E9" s="9" t="s">
        <v>20</v>
      </c>
      <c r="F9" s="9" t="s">
        <v>23</v>
      </c>
      <c r="G9" s="7"/>
      <c r="H9" s="7"/>
      <c r="I9" s="7"/>
      <c r="J9" s="7"/>
      <c r="K9" s="7"/>
      <c r="L9" s="7"/>
      <c r="M9" s="7"/>
      <c r="N9" s="7"/>
      <c r="O9" s="7"/>
      <c r="P9" s="7"/>
      <c r="Q9" s="7"/>
      <c r="R9" s="7"/>
      <c r="S9" s="7"/>
      <c r="T9" s="7"/>
      <c r="U9" s="7"/>
      <c r="V9" s="7"/>
      <c r="W9" s="7"/>
      <c r="X9" s="7"/>
      <c r="Y9" s="7"/>
      <c r="Z9" s="7"/>
    </row>
    <row r="10" ht="14.25" customHeight="1">
      <c r="A10" s="9" t="s">
        <v>16</v>
      </c>
      <c r="B10" s="9" t="s">
        <v>17</v>
      </c>
      <c r="C10" s="9" t="s">
        <v>24</v>
      </c>
      <c r="D10" s="9" t="s">
        <v>19</v>
      </c>
      <c r="E10" s="9" t="s">
        <v>20</v>
      </c>
      <c r="F10" s="9" t="s">
        <v>23</v>
      </c>
      <c r="G10" s="7"/>
      <c r="H10" s="7"/>
      <c r="I10" s="7"/>
      <c r="J10" s="7"/>
      <c r="K10" s="7"/>
      <c r="L10" s="7"/>
      <c r="M10" s="7"/>
      <c r="N10" s="7"/>
      <c r="O10" s="7"/>
      <c r="P10" s="7"/>
      <c r="Q10" s="7"/>
      <c r="R10" s="7"/>
      <c r="S10" s="7"/>
      <c r="T10" s="7"/>
      <c r="U10" s="7"/>
      <c r="V10" s="7"/>
      <c r="W10" s="7"/>
      <c r="X10" s="7"/>
      <c r="Y10" s="7"/>
      <c r="Z10" s="7"/>
    </row>
    <row r="11" ht="14.25" customHeight="1">
      <c r="A11" s="9" t="s">
        <v>16</v>
      </c>
      <c r="B11" s="9" t="s">
        <v>17</v>
      </c>
      <c r="C11" s="9" t="s">
        <v>25</v>
      </c>
      <c r="D11" s="9" t="s">
        <v>19</v>
      </c>
      <c r="E11" s="9" t="s">
        <v>20</v>
      </c>
      <c r="F11" s="9" t="s">
        <v>23</v>
      </c>
      <c r="G11" s="7"/>
      <c r="H11" s="7"/>
      <c r="I11" s="7"/>
      <c r="J11" s="7"/>
      <c r="K11" s="7"/>
      <c r="L11" s="7"/>
      <c r="M11" s="7"/>
      <c r="N11" s="7"/>
      <c r="O11" s="7"/>
      <c r="P11" s="7"/>
      <c r="Q11" s="7"/>
      <c r="R11" s="7"/>
      <c r="S11" s="7"/>
      <c r="T11" s="7"/>
      <c r="U11" s="7"/>
      <c r="V11" s="7"/>
      <c r="W11" s="7"/>
      <c r="X11" s="7"/>
      <c r="Y11" s="7"/>
      <c r="Z11" s="7"/>
    </row>
    <row r="12" ht="14.25" customHeight="1">
      <c r="A12" s="9" t="s">
        <v>16</v>
      </c>
      <c r="B12" s="9" t="s">
        <v>17</v>
      </c>
      <c r="C12" s="9" t="s">
        <v>26</v>
      </c>
      <c r="D12" s="9" t="s">
        <v>19</v>
      </c>
      <c r="E12" s="9" t="s">
        <v>20</v>
      </c>
      <c r="F12" s="9" t="s">
        <v>23</v>
      </c>
      <c r="G12" s="7"/>
      <c r="H12" s="7"/>
      <c r="I12" s="7"/>
      <c r="J12" s="7"/>
      <c r="K12" s="7"/>
      <c r="L12" s="7"/>
      <c r="M12" s="7"/>
      <c r="N12" s="7"/>
      <c r="O12" s="7"/>
      <c r="P12" s="7"/>
      <c r="Q12" s="7"/>
      <c r="R12" s="7"/>
      <c r="S12" s="7"/>
      <c r="T12" s="7"/>
      <c r="U12" s="7"/>
      <c r="V12" s="7"/>
      <c r="W12" s="7"/>
      <c r="X12" s="7"/>
      <c r="Y12" s="7"/>
      <c r="Z12" s="7"/>
    </row>
    <row r="13" ht="14.25" customHeight="1">
      <c r="A13" s="9" t="s">
        <v>16</v>
      </c>
      <c r="B13" s="9" t="s">
        <v>17</v>
      </c>
      <c r="C13" s="9" t="s">
        <v>27</v>
      </c>
      <c r="D13" s="9" t="s">
        <v>19</v>
      </c>
      <c r="E13" s="9" t="s">
        <v>20</v>
      </c>
      <c r="F13" s="10" t="s">
        <v>23</v>
      </c>
      <c r="G13" s="7"/>
      <c r="H13" s="7"/>
      <c r="I13" s="7"/>
      <c r="J13" s="7"/>
      <c r="K13" s="7"/>
      <c r="L13" s="7"/>
      <c r="M13" s="7"/>
      <c r="N13" s="7"/>
      <c r="O13" s="7"/>
      <c r="P13" s="7"/>
      <c r="Q13" s="7"/>
      <c r="R13" s="7"/>
      <c r="S13" s="7"/>
      <c r="T13" s="7"/>
      <c r="U13" s="7"/>
      <c r="V13" s="7"/>
      <c r="W13" s="7"/>
      <c r="X13" s="7"/>
      <c r="Y13" s="7"/>
      <c r="Z13" s="7"/>
    </row>
    <row r="14" ht="14.25" customHeight="1">
      <c r="A14" s="8" t="str">
        <f>IFERROR(__xludf.DUMMYFUNCTION("AI(""Fill an appropriate value for this cell based on the table context"")"),"Batch 1")</f>
        <v>Batch 1</v>
      </c>
      <c r="B14" s="8"/>
      <c r="C14" s="8"/>
      <c r="D14" s="8"/>
      <c r="E14" s="8"/>
      <c r="F14" s="8"/>
      <c r="G14" s="7"/>
      <c r="H14" s="7"/>
      <c r="I14" s="7"/>
      <c r="J14" s="7"/>
      <c r="K14" s="7"/>
      <c r="L14" s="7"/>
      <c r="M14" s="7"/>
      <c r="N14" s="7"/>
      <c r="O14" s="7"/>
      <c r="P14" s="7"/>
      <c r="Q14" s="7"/>
      <c r="R14" s="7"/>
      <c r="S14" s="7"/>
      <c r="T14" s="7"/>
      <c r="U14" s="7"/>
      <c r="V14" s="7"/>
      <c r="W14" s="7"/>
      <c r="X14" s="7"/>
      <c r="Y14" s="7"/>
      <c r="Z14" s="7"/>
    </row>
    <row r="15" ht="14.25" customHeight="1">
      <c r="A15" s="9" t="s">
        <v>16</v>
      </c>
      <c r="B15" s="9" t="s">
        <v>17</v>
      </c>
      <c r="C15" s="9" t="s">
        <v>18</v>
      </c>
      <c r="D15" s="9" t="s">
        <v>19</v>
      </c>
      <c r="E15" s="9" t="s">
        <v>28</v>
      </c>
      <c r="F15" s="9" t="s">
        <v>23</v>
      </c>
      <c r="G15" s="7"/>
      <c r="H15" s="7"/>
      <c r="I15" s="7"/>
      <c r="J15" s="7"/>
      <c r="K15" s="7"/>
      <c r="L15" s="7"/>
      <c r="M15" s="7"/>
      <c r="N15" s="7"/>
      <c r="O15" s="7"/>
      <c r="P15" s="7"/>
      <c r="Q15" s="7"/>
      <c r="R15" s="7"/>
      <c r="S15" s="7"/>
      <c r="T15" s="7"/>
      <c r="U15" s="7"/>
      <c r="V15" s="7"/>
      <c r="W15" s="7"/>
      <c r="X15" s="7"/>
      <c r="Y15" s="7"/>
      <c r="Z15" s="7"/>
    </row>
    <row r="16" ht="14.25" customHeight="1">
      <c r="A16" s="9" t="s">
        <v>16</v>
      </c>
      <c r="B16" s="9" t="s">
        <v>17</v>
      </c>
      <c r="C16" s="9" t="s">
        <v>22</v>
      </c>
      <c r="D16" s="9" t="s">
        <v>19</v>
      </c>
      <c r="E16" s="9" t="s">
        <v>28</v>
      </c>
      <c r="F16" s="9" t="s">
        <v>23</v>
      </c>
      <c r="G16" s="7"/>
      <c r="H16" s="7"/>
      <c r="I16" s="7"/>
      <c r="J16" s="7"/>
      <c r="K16" s="7"/>
      <c r="L16" s="7"/>
      <c r="M16" s="7"/>
      <c r="N16" s="7"/>
      <c r="O16" s="7"/>
      <c r="P16" s="7"/>
      <c r="Q16" s="7"/>
      <c r="R16" s="7"/>
      <c r="S16" s="7"/>
      <c r="T16" s="7"/>
      <c r="U16" s="7"/>
      <c r="V16" s="7"/>
      <c r="W16" s="7"/>
      <c r="X16" s="7"/>
      <c r="Y16" s="7"/>
      <c r="Z16" s="7"/>
    </row>
    <row r="17" ht="14.25" customHeight="1">
      <c r="A17" s="9" t="s">
        <v>16</v>
      </c>
      <c r="B17" s="9" t="s">
        <v>17</v>
      </c>
      <c r="C17" s="9" t="s">
        <v>24</v>
      </c>
      <c r="D17" s="9" t="s">
        <v>19</v>
      </c>
      <c r="E17" s="9" t="s">
        <v>28</v>
      </c>
      <c r="F17" s="9" t="s">
        <v>23</v>
      </c>
      <c r="G17" s="7"/>
      <c r="H17" s="7"/>
      <c r="I17" s="7"/>
      <c r="J17" s="7"/>
      <c r="K17" s="7"/>
      <c r="L17" s="7"/>
      <c r="M17" s="7"/>
      <c r="N17" s="7"/>
      <c r="O17" s="7"/>
      <c r="P17" s="7"/>
      <c r="Q17" s="7"/>
      <c r="R17" s="7"/>
      <c r="S17" s="7"/>
      <c r="T17" s="7"/>
      <c r="U17" s="7"/>
      <c r="V17" s="7"/>
      <c r="W17" s="7"/>
      <c r="X17" s="7"/>
      <c r="Y17" s="7"/>
      <c r="Z17" s="7"/>
    </row>
    <row r="18" ht="14.25" customHeight="1">
      <c r="A18" s="9" t="s">
        <v>16</v>
      </c>
      <c r="B18" s="9" t="s">
        <v>17</v>
      </c>
      <c r="C18" s="9" t="s">
        <v>25</v>
      </c>
      <c r="D18" s="9" t="s">
        <v>19</v>
      </c>
      <c r="E18" s="9" t="s">
        <v>28</v>
      </c>
      <c r="F18" s="9" t="s">
        <v>23</v>
      </c>
      <c r="G18" s="7"/>
      <c r="H18" s="7"/>
      <c r="I18" s="7"/>
      <c r="J18" s="7"/>
      <c r="K18" s="7"/>
      <c r="L18" s="7"/>
      <c r="M18" s="7"/>
      <c r="N18" s="7"/>
      <c r="O18" s="7"/>
      <c r="P18" s="7"/>
      <c r="Q18" s="7"/>
      <c r="R18" s="7"/>
      <c r="S18" s="7"/>
      <c r="T18" s="7"/>
      <c r="U18" s="7"/>
      <c r="V18" s="7"/>
      <c r="W18" s="7"/>
      <c r="X18" s="7"/>
      <c r="Y18" s="7"/>
      <c r="Z18" s="7"/>
    </row>
    <row r="19" ht="14.25" customHeight="1">
      <c r="A19" s="9" t="s">
        <v>16</v>
      </c>
      <c r="B19" s="9" t="s">
        <v>17</v>
      </c>
      <c r="C19" s="9" t="s">
        <v>26</v>
      </c>
      <c r="D19" s="9" t="s">
        <v>19</v>
      </c>
      <c r="E19" s="9" t="s">
        <v>28</v>
      </c>
      <c r="F19" s="9" t="s">
        <v>21</v>
      </c>
      <c r="G19" s="7"/>
      <c r="H19" s="7"/>
      <c r="I19" s="7"/>
      <c r="J19" s="7"/>
      <c r="K19" s="7"/>
      <c r="L19" s="7"/>
      <c r="M19" s="7"/>
      <c r="N19" s="7"/>
      <c r="O19" s="7"/>
      <c r="P19" s="7"/>
      <c r="Q19" s="7"/>
      <c r="R19" s="7"/>
      <c r="S19" s="7"/>
      <c r="T19" s="7"/>
      <c r="U19" s="7"/>
      <c r="V19" s="7"/>
      <c r="W19" s="7"/>
      <c r="X19" s="7"/>
      <c r="Y19" s="7"/>
      <c r="Z19" s="7"/>
    </row>
    <row r="20" ht="14.25" customHeight="1">
      <c r="A20" s="9" t="s">
        <v>16</v>
      </c>
      <c r="B20" s="9" t="s">
        <v>17</v>
      </c>
      <c r="C20" s="9" t="s">
        <v>27</v>
      </c>
      <c r="D20" s="9" t="s">
        <v>19</v>
      </c>
      <c r="E20" s="9" t="s">
        <v>28</v>
      </c>
      <c r="F20" s="9" t="s">
        <v>23</v>
      </c>
      <c r="G20" s="7"/>
      <c r="H20" s="7"/>
      <c r="I20" s="7"/>
      <c r="J20" s="7"/>
      <c r="K20" s="7"/>
      <c r="L20" s="7"/>
      <c r="M20" s="7"/>
      <c r="N20" s="7"/>
      <c r="O20" s="7"/>
      <c r="P20" s="7"/>
      <c r="Q20" s="7"/>
      <c r="R20" s="7"/>
      <c r="S20" s="7"/>
      <c r="T20" s="7"/>
      <c r="U20" s="7"/>
      <c r="V20" s="7"/>
      <c r="W20" s="7"/>
      <c r="X20" s="7"/>
      <c r="Y20" s="7"/>
      <c r="Z20" s="7"/>
    </row>
    <row r="21" ht="14.25" customHeight="1">
      <c r="A21" s="8" t="str">
        <f>IFERROR(__xludf.DUMMYFUNCTION("AI(""Fill an appropriate value for this cell based on the table context"")"),"Batch 1")</f>
        <v>Batch 1</v>
      </c>
      <c r="B21" s="8"/>
      <c r="C21" s="8"/>
      <c r="D21" s="8"/>
      <c r="E21" s="8"/>
      <c r="F21" s="8"/>
      <c r="G21" s="7"/>
      <c r="H21" s="7"/>
      <c r="I21" s="7"/>
      <c r="J21" s="7"/>
      <c r="K21" s="7"/>
      <c r="L21" s="7"/>
      <c r="M21" s="7"/>
      <c r="N21" s="7"/>
      <c r="O21" s="7"/>
      <c r="P21" s="7"/>
      <c r="Q21" s="7"/>
      <c r="R21" s="7"/>
      <c r="S21" s="7"/>
      <c r="T21" s="7"/>
      <c r="U21" s="7"/>
      <c r="V21" s="7"/>
      <c r="W21" s="7"/>
      <c r="X21" s="7"/>
      <c r="Y21" s="7"/>
      <c r="Z21" s="7"/>
    </row>
    <row r="22" ht="14.25" customHeight="1">
      <c r="A22" s="8" t="s">
        <v>16</v>
      </c>
      <c r="B22" s="8" t="s">
        <v>17</v>
      </c>
      <c r="C22" s="8" t="s">
        <v>18</v>
      </c>
      <c r="D22" s="8" t="s">
        <v>19</v>
      </c>
      <c r="E22" s="8" t="s">
        <v>29</v>
      </c>
      <c r="F22" s="8" t="s">
        <v>23</v>
      </c>
      <c r="G22" s="7"/>
      <c r="H22" s="7"/>
      <c r="I22" s="7"/>
      <c r="J22" s="7"/>
      <c r="K22" s="7"/>
      <c r="L22" s="7"/>
      <c r="M22" s="7"/>
      <c r="N22" s="7"/>
      <c r="O22" s="7"/>
      <c r="P22" s="7"/>
      <c r="Q22" s="7"/>
      <c r="R22" s="7"/>
      <c r="S22" s="7"/>
      <c r="T22" s="7"/>
      <c r="U22" s="7"/>
      <c r="V22" s="7"/>
      <c r="W22" s="7"/>
      <c r="X22" s="7"/>
      <c r="Y22" s="7"/>
      <c r="Z22" s="7"/>
    </row>
    <row r="23" ht="14.25" customHeight="1">
      <c r="A23" s="8" t="s">
        <v>16</v>
      </c>
      <c r="B23" s="8" t="s">
        <v>17</v>
      </c>
      <c r="C23" s="8" t="s">
        <v>22</v>
      </c>
      <c r="D23" s="8" t="s">
        <v>19</v>
      </c>
      <c r="E23" s="8" t="s">
        <v>29</v>
      </c>
      <c r="F23" s="8" t="s">
        <v>23</v>
      </c>
      <c r="G23" s="7"/>
      <c r="H23" s="7"/>
      <c r="I23" s="7"/>
      <c r="J23" s="7"/>
      <c r="K23" s="7"/>
      <c r="L23" s="7"/>
      <c r="M23" s="7"/>
      <c r="N23" s="7"/>
      <c r="O23" s="7"/>
      <c r="P23" s="7"/>
      <c r="Q23" s="7"/>
      <c r="R23" s="7"/>
      <c r="S23" s="7"/>
      <c r="T23" s="7"/>
      <c r="U23" s="7"/>
      <c r="V23" s="7"/>
      <c r="W23" s="7"/>
      <c r="X23" s="7"/>
      <c r="Y23" s="7"/>
      <c r="Z23" s="7"/>
    </row>
    <row r="24" ht="14.25" customHeight="1">
      <c r="A24" s="8" t="s">
        <v>16</v>
      </c>
      <c r="B24" s="8" t="s">
        <v>17</v>
      </c>
      <c r="C24" s="8" t="s">
        <v>24</v>
      </c>
      <c r="D24" s="8" t="s">
        <v>19</v>
      </c>
      <c r="E24" s="8" t="s">
        <v>29</v>
      </c>
      <c r="F24" s="8" t="s">
        <v>23</v>
      </c>
      <c r="G24" s="7"/>
      <c r="H24" s="7"/>
      <c r="I24" s="7"/>
      <c r="J24" s="7"/>
      <c r="K24" s="7"/>
      <c r="L24" s="7"/>
      <c r="M24" s="7"/>
      <c r="N24" s="7"/>
      <c r="O24" s="7"/>
      <c r="P24" s="7"/>
      <c r="Q24" s="7"/>
      <c r="R24" s="7"/>
      <c r="S24" s="7"/>
      <c r="T24" s="7"/>
      <c r="U24" s="7"/>
      <c r="V24" s="7"/>
      <c r="W24" s="7"/>
      <c r="X24" s="7"/>
      <c r="Y24" s="7"/>
      <c r="Z24" s="7"/>
    </row>
    <row r="25" ht="14.25" customHeight="1">
      <c r="A25" s="8" t="s">
        <v>16</v>
      </c>
      <c r="B25" s="8" t="s">
        <v>17</v>
      </c>
      <c r="C25" s="8" t="s">
        <v>25</v>
      </c>
      <c r="D25" s="8" t="s">
        <v>19</v>
      </c>
      <c r="E25" s="8" t="s">
        <v>29</v>
      </c>
      <c r="F25" s="8" t="s">
        <v>21</v>
      </c>
      <c r="G25" s="7"/>
      <c r="H25" s="7"/>
      <c r="I25" s="7"/>
      <c r="J25" s="7"/>
      <c r="K25" s="7"/>
      <c r="L25" s="7"/>
      <c r="M25" s="7"/>
      <c r="N25" s="7"/>
      <c r="O25" s="7"/>
      <c r="P25" s="7"/>
      <c r="Q25" s="7"/>
      <c r="R25" s="7"/>
      <c r="S25" s="7"/>
      <c r="T25" s="7"/>
      <c r="U25" s="7"/>
      <c r="V25" s="7"/>
      <c r="W25" s="7"/>
      <c r="X25" s="7"/>
      <c r="Y25" s="7"/>
      <c r="Z25" s="7"/>
    </row>
    <row r="26" ht="15.0" customHeight="1">
      <c r="A26" s="8" t="s">
        <v>16</v>
      </c>
      <c r="B26" s="8" t="s">
        <v>17</v>
      </c>
      <c r="C26" s="8" t="s">
        <v>26</v>
      </c>
      <c r="D26" s="8" t="s">
        <v>19</v>
      </c>
      <c r="E26" s="8" t="s">
        <v>29</v>
      </c>
      <c r="F26" s="8" t="s">
        <v>23</v>
      </c>
      <c r="G26" s="7"/>
      <c r="H26" s="7"/>
      <c r="I26" s="7"/>
      <c r="J26" s="7"/>
      <c r="K26" s="7"/>
      <c r="L26" s="7"/>
      <c r="M26" s="7"/>
      <c r="N26" s="7"/>
      <c r="O26" s="7"/>
      <c r="P26" s="7"/>
      <c r="Q26" s="7"/>
      <c r="R26" s="7"/>
      <c r="S26" s="7"/>
      <c r="T26" s="7"/>
      <c r="U26" s="7"/>
      <c r="V26" s="7"/>
      <c r="W26" s="7"/>
      <c r="X26" s="7"/>
      <c r="Y26" s="7"/>
      <c r="Z26" s="7"/>
    </row>
    <row r="27" ht="15.0" customHeight="1">
      <c r="A27" s="8" t="s">
        <v>16</v>
      </c>
      <c r="B27" s="8" t="s">
        <v>17</v>
      </c>
      <c r="C27" s="8" t="s">
        <v>27</v>
      </c>
      <c r="D27" s="8" t="s">
        <v>19</v>
      </c>
      <c r="E27" s="8" t="s">
        <v>29</v>
      </c>
      <c r="F27" s="8" t="s">
        <v>23</v>
      </c>
      <c r="G27" s="7"/>
      <c r="H27" s="7"/>
      <c r="I27" s="7"/>
      <c r="J27" s="7"/>
      <c r="K27" s="7"/>
      <c r="L27" s="7"/>
      <c r="M27" s="7"/>
      <c r="N27" s="7"/>
      <c r="O27" s="7"/>
      <c r="P27" s="7"/>
      <c r="Q27" s="7"/>
      <c r="R27" s="7"/>
      <c r="S27" s="7"/>
      <c r="T27" s="7"/>
      <c r="U27" s="7"/>
      <c r="V27" s="7"/>
      <c r="W27" s="7"/>
      <c r="X27" s="7"/>
      <c r="Y27" s="7"/>
      <c r="Z27" s="7"/>
    </row>
    <row r="28" ht="15.75" customHeight="1">
      <c r="A28" s="11"/>
      <c r="B28" s="11"/>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11" t="s">
        <v>16</v>
      </c>
      <c r="B29" s="11" t="s">
        <v>17</v>
      </c>
      <c r="C29" s="8" t="s">
        <v>18</v>
      </c>
      <c r="D29" s="8" t="s">
        <v>19</v>
      </c>
      <c r="E29" s="8" t="s">
        <v>29</v>
      </c>
      <c r="F29" s="8" t="s">
        <v>23</v>
      </c>
      <c r="G29" s="7"/>
      <c r="H29" s="7"/>
      <c r="I29" s="7"/>
      <c r="J29" s="7"/>
      <c r="K29" s="7"/>
      <c r="L29" s="7"/>
      <c r="M29" s="7"/>
      <c r="N29" s="7"/>
      <c r="O29" s="7"/>
      <c r="P29" s="7"/>
      <c r="Q29" s="7"/>
      <c r="R29" s="7"/>
      <c r="S29" s="7"/>
      <c r="T29" s="7"/>
      <c r="U29" s="7"/>
      <c r="V29" s="7"/>
      <c r="W29" s="7"/>
      <c r="X29" s="7"/>
      <c r="Y29" s="7"/>
      <c r="Z29" s="7"/>
    </row>
    <row r="30" ht="15.75" customHeight="1">
      <c r="A30" s="11" t="s">
        <v>16</v>
      </c>
      <c r="B30" s="11" t="s">
        <v>17</v>
      </c>
      <c r="C30" s="8" t="s">
        <v>22</v>
      </c>
      <c r="D30" s="8" t="s">
        <v>19</v>
      </c>
      <c r="E30" s="8" t="s">
        <v>29</v>
      </c>
      <c r="F30" s="11" t="s">
        <v>21</v>
      </c>
      <c r="G30" s="7"/>
      <c r="H30" s="7"/>
      <c r="I30" s="7"/>
      <c r="J30" s="7"/>
      <c r="K30" s="7"/>
      <c r="L30" s="7"/>
      <c r="M30" s="7"/>
      <c r="N30" s="7"/>
      <c r="O30" s="7"/>
      <c r="P30" s="7"/>
      <c r="Q30" s="7"/>
      <c r="R30" s="7"/>
      <c r="S30" s="7"/>
      <c r="T30" s="7"/>
      <c r="U30" s="7"/>
      <c r="V30" s="7"/>
      <c r="W30" s="7"/>
      <c r="X30" s="7"/>
      <c r="Y30" s="7"/>
      <c r="Z30" s="7"/>
    </row>
    <row r="31" ht="15.75" customHeight="1">
      <c r="A31" s="11" t="s">
        <v>16</v>
      </c>
      <c r="B31" s="11" t="s">
        <v>17</v>
      </c>
      <c r="C31" s="8" t="s">
        <v>24</v>
      </c>
      <c r="D31" s="8" t="s">
        <v>19</v>
      </c>
      <c r="E31" s="8" t="s">
        <v>29</v>
      </c>
      <c r="F31" s="8" t="s">
        <v>23</v>
      </c>
      <c r="G31" s="7"/>
      <c r="H31" s="7"/>
      <c r="I31" s="7"/>
      <c r="J31" s="7"/>
      <c r="K31" s="7"/>
      <c r="L31" s="7"/>
      <c r="M31" s="7"/>
      <c r="N31" s="7"/>
      <c r="O31" s="7"/>
      <c r="P31" s="7"/>
      <c r="Q31" s="7"/>
      <c r="R31" s="7"/>
      <c r="S31" s="7"/>
      <c r="T31" s="7"/>
      <c r="U31" s="7"/>
      <c r="V31" s="7"/>
      <c r="W31" s="7"/>
      <c r="X31" s="7"/>
      <c r="Y31" s="7"/>
      <c r="Z31" s="7"/>
    </row>
    <row r="32" ht="15.75" customHeight="1">
      <c r="A32" s="11" t="s">
        <v>16</v>
      </c>
      <c r="B32" s="11" t="s">
        <v>17</v>
      </c>
      <c r="C32" s="8" t="s">
        <v>25</v>
      </c>
      <c r="D32" s="8" t="s">
        <v>19</v>
      </c>
      <c r="E32" s="8" t="s">
        <v>29</v>
      </c>
      <c r="F32" s="11" t="s">
        <v>23</v>
      </c>
      <c r="G32" s="7"/>
      <c r="H32" s="7"/>
      <c r="I32" s="7"/>
      <c r="J32" s="7"/>
      <c r="K32" s="7"/>
      <c r="L32" s="7"/>
      <c r="M32" s="7"/>
      <c r="N32" s="7"/>
      <c r="O32" s="7"/>
      <c r="P32" s="7"/>
      <c r="Q32" s="7"/>
      <c r="R32" s="7"/>
      <c r="S32" s="7"/>
      <c r="T32" s="7"/>
      <c r="U32" s="7"/>
      <c r="V32" s="7"/>
      <c r="W32" s="7"/>
      <c r="X32" s="7"/>
      <c r="Y32" s="7"/>
      <c r="Z32" s="7"/>
    </row>
    <row r="33" ht="15.75" customHeight="1">
      <c r="A33" s="11" t="s">
        <v>16</v>
      </c>
      <c r="B33" s="11" t="s">
        <v>17</v>
      </c>
      <c r="C33" s="8" t="s">
        <v>26</v>
      </c>
      <c r="D33" s="8" t="s">
        <v>19</v>
      </c>
      <c r="E33" s="8" t="s">
        <v>29</v>
      </c>
      <c r="F33" s="8" t="s">
        <v>23</v>
      </c>
      <c r="G33" s="7"/>
      <c r="H33" s="7"/>
      <c r="I33" s="7"/>
      <c r="J33" s="7"/>
      <c r="K33" s="7"/>
      <c r="L33" s="7"/>
      <c r="M33" s="7"/>
      <c r="N33" s="7"/>
      <c r="O33" s="7"/>
      <c r="P33" s="7"/>
      <c r="Q33" s="7"/>
      <c r="R33" s="7"/>
      <c r="S33" s="7"/>
      <c r="T33" s="7"/>
      <c r="U33" s="7"/>
      <c r="V33" s="7"/>
      <c r="W33" s="7"/>
      <c r="X33" s="7"/>
      <c r="Y33" s="7"/>
      <c r="Z33" s="7"/>
    </row>
    <row r="34" ht="15.75" customHeight="1">
      <c r="A34" s="11" t="s">
        <v>16</v>
      </c>
      <c r="B34" s="11" t="s">
        <v>17</v>
      </c>
      <c r="C34" s="8" t="s">
        <v>27</v>
      </c>
      <c r="D34" s="8" t="s">
        <v>19</v>
      </c>
      <c r="E34" s="8" t="s">
        <v>29</v>
      </c>
      <c r="F34" s="8" t="s">
        <v>23</v>
      </c>
      <c r="G34" s="7"/>
      <c r="H34" s="7"/>
      <c r="I34" s="7"/>
      <c r="J34" s="7"/>
      <c r="K34" s="7"/>
      <c r="L34" s="7"/>
      <c r="M34" s="7"/>
      <c r="N34" s="7"/>
      <c r="O34" s="7"/>
      <c r="P34" s="7"/>
      <c r="Q34" s="7"/>
      <c r="R34" s="7"/>
      <c r="S34" s="7"/>
      <c r="T34" s="7"/>
      <c r="U34" s="7"/>
      <c r="V34" s="7"/>
      <c r="W34" s="7"/>
      <c r="X34" s="7"/>
      <c r="Y34" s="7"/>
      <c r="Z34" s="7"/>
    </row>
    <row r="35" ht="15.75" customHeight="1">
      <c r="A35" s="11"/>
      <c r="B35" s="8"/>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12" t="s">
        <v>16</v>
      </c>
      <c r="B36" s="12" t="s">
        <v>17</v>
      </c>
      <c r="C36" s="12" t="s">
        <v>18</v>
      </c>
      <c r="D36" s="12" t="s">
        <v>19</v>
      </c>
      <c r="E36" s="12" t="s">
        <v>29</v>
      </c>
      <c r="F36" s="12" t="s">
        <v>23</v>
      </c>
      <c r="G36" s="7"/>
      <c r="H36" s="7"/>
      <c r="I36" s="7"/>
      <c r="J36" s="7"/>
      <c r="K36" s="7"/>
      <c r="L36" s="7"/>
      <c r="M36" s="7"/>
      <c r="N36" s="7"/>
      <c r="O36" s="7"/>
      <c r="P36" s="7"/>
      <c r="Q36" s="7"/>
      <c r="R36" s="7"/>
      <c r="S36" s="7"/>
      <c r="T36" s="7"/>
      <c r="U36" s="7"/>
      <c r="V36" s="7"/>
      <c r="W36" s="7"/>
      <c r="X36" s="7"/>
      <c r="Y36" s="7"/>
      <c r="Z36" s="7"/>
    </row>
    <row r="37" ht="15.75" customHeight="1">
      <c r="A37" s="12" t="s">
        <v>16</v>
      </c>
      <c r="B37" s="12" t="s">
        <v>17</v>
      </c>
      <c r="C37" s="12" t="s">
        <v>22</v>
      </c>
      <c r="D37" s="12" t="s">
        <v>19</v>
      </c>
      <c r="E37" s="12" t="s">
        <v>29</v>
      </c>
      <c r="F37" s="13" t="s">
        <v>23</v>
      </c>
      <c r="G37" s="7"/>
      <c r="H37" s="7"/>
      <c r="I37" s="7"/>
      <c r="J37" s="7"/>
      <c r="K37" s="7"/>
      <c r="L37" s="7"/>
      <c r="M37" s="7"/>
      <c r="N37" s="7"/>
      <c r="O37" s="7"/>
      <c r="P37" s="7"/>
      <c r="Q37" s="7"/>
      <c r="R37" s="7"/>
      <c r="S37" s="7"/>
      <c r="T37" s="7"/>
      <c r="U37" s="7"/>
      <c r="V37" s="7"/>
      <c r="W37" s="7"/>
      <c r="X37" s="7"/>
      <c r="Y37" s="7"/>
      <c r="Z37" s="7"/>
    </row>
    <row r="38" ht="15.75" customHeight="1">
      <c r="A38" s="12" t="s">
        <v>16</v>
      </c>
      <c r="B38" s="12" t="s">
        <v>17</v>
      </c>
      <c r="C38" s="12" t="s">
        <v>24</v>
      </c>
      <c r="D38" s="12" t="s">
        <v>19</v>
      </c>
      <c r="E38" s="12" t="s">
        <v>29</v>
      </c>
      <c r="F38" s="12" t="s">
        <v>23</v>
      </c>
      <c r="G38" s="7"/>
      <c r="H38" s="7"/>
      <c r="I38" s="7"/>
      <c r="J38" s="7"/>
      <c r="K38" s="7"/>
      <c r="L38" s="7"/>
      <c r="M38" s="7"/>
      <c r="N38" s="7"/>
      <c r="O38" s="7"/>
      <c r="P38" s="7"/>
      <c r="Q38" s="7"/>
      <c r="R38" s="7"/>
      <c r="S38" s="7"/>
      <c r="T38" s="7"/>
      <c r="U38" s="7"/>
      <c r="V38" s="7"/>
      <c r="W38" s="7"/>
      <c r="X38" s="7"/>
      <c r="Y38" s="7"/>
      <c r="Z38" s="7"/>
    </row>
    <row r="39" ht="15.75" customHeight="1">
      <c r="A39" s="12" t="s">
        <v>16</v>
      </c>
      <c r="B39" s="12" t="s">
        <v>17</v>
      </c>
      <c r="C39" s="12" t="s">
        <v>25</v>
      </c>
      <c r="D39" s="12" t="s">
        <v>19</v>
      </c>
      <c r="E39" s="12" t="s">
        <v>29</v>
      </c>
      <c r="F39" s="12" t="s">
        <v>23</v>
      </c>
      <c r="G39" s="7"/>
      <c r="H39" s="7"/>
      <c r="I39" s="7"/>
      <c r="J39" s="7"/>
      <c r="K39" s="7"/>
      <c r="L39" s="7"/>
      <c r="M39" s="7"/>
      <c r="N39" s="7"/>
      <c r="O39" s="7"/>
      <c r="P39" s="7"/>
      <c r="Q39" s="7"/>
      <c r="R39" s="7"/>
      <c r="S39" s="7"/>
      <c r="T39" s="7"/>
      <c r="U39" s="7"/>
      <c r="V39" s="7"/>
      <c r="W39" s="7"/>
      <c r="X39" s="7"/>
      <c r="Y39" s="7"/>
      <c r="Z39" s="7"/>
    </row>
    <row r="40" ht="15.75" customHeight="1">
      <c r="A40" s="12" t="s">
        <v>16</v>
      </c>
      <c r="B40" s="12" t="s">
        <v>17</v>
      </c>
      <c r="C40" s="12" t="s">
        <v>26</v>
      </c>
      <c r="D40" s="12" t="s">
        <v>19</v>
      </c>
      <c r="E40" s="12" t="s">
        <v>29</v>
      </c>
      <c r="F40" s="12" t="s">
        <v>23</v>
      </c>
      <c r="G40" s="7"/>
      <c r="H40" s="7"/>
      <c r="I40" s="7"/>
      <c r="J40" s="7"/>
      <c r="K40" s="7"/>
      <c r="L40" s="7"/>
      <c r="M40" s="7"/>
      <c r="N40" s="7"/>
      <c r="O40" s="7"/>
      <c r="P40" s="7"/>
      <c r="Q40" s="7"/>
      <c r="R40" s="7"/>
      <c r="S40" s="7"/>
      <c r="T40" s="7"/>
      <c r="U40" s="7"/>
      <c r="V40" s="7"/>
      <c r="W40" s="7"/>
      <c r="X40" s="7"/>
      <c r="Y40" s="7"/>
      <c r="Z40" s="7"/>
    </row>
    <row r="41" ht="15.75" customHeight="1">
      <c r="A41" s="12" t="s">
        <v>16</v>
      </c>
      <c r="B41" s="12" t="s">
        <v>17</v>
      </c>
      <c r="C41" s="12" t="s">
        <v>27</v>
      </c>
      <c r="D41" s="12" t="s">
        <v>19</v>
      </c>
      <c r="E41" s="12" t="s">
        <v>29</v>
      </c>
      <c r="F41" s="13" t="s">
        <v>21</v>
      </c>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14"/>
    <col customWidth="1" min="2" max="2" width="42.57"/>
    <col customWidth="1" min="3" max="3" width="10.0"/>
    <col customWidth="1" min="4" max="4" width="12.86"/>
    <col customWidth="1" min="5" max="5" width="24.43"/>
    <col customWidth="1" min="6" max="26" width="12.57"/>
  </cols>
  <sheetData>
    <row r="1" ht="14.25" customHeight="1">
      <c r="A1" s="14" t="s">
        <v>30</v>
      </c>
      <c r="B1" s="14" t="s">
        <v>31</v>
      </c>
      <c r="C1" s="14" t="s">
        <v>32</v>
      </c>
      <c r="D1" s="14" t="s">
        <v>33</v>
      </c>
      <c r="E1" s="14" t="s">
        <v>34</v>
      </c>
      <c r="F1" s="7"/>
      <c r="G1" s="7"/>
      <c r="H1" s="7"/>
      <c r="I1" s="7"/>
      <c r="J1" s="7"/>
      <c r="K1" s="7"/>
      <c r="L1" s="7"/>
      <c r="M1" s="7"/>
      <c r="N1" s="7"/>
      <c r="O1" s="7"/>
      <c r="P1" s="7"/>
      <c r="Q1" s="7"/>
      <c r="R1" s="7"/>
      <c r="S1" s="7"/>
      <c r="T1" s="7"/>
      <c r="U1" s="7"/>
      <c r="V1" s="7"/>
      <c r="W1" s="7"/>
      <c r="X1" s="7"/>
      <c r="Y1" s="7"/>
      <c r="Z1" s="7"/>
    </row>
    <row r="2" ht="14.25" customHeight="1">
      <c r="A2" s="15">
        <v>1.0</v>
      </c>
      <c r="B2" s="16" t="s">
        <v>35</v>
      </c>
      <c r="C2" s="17">
        <v>46148.0</v>
      </c>
      <c r="D2" s="17">
        <v>46149.0</v>
      </c>
      <c r="E2" s="18" t="s">
        <v>36</v>
      </c>
      <c r="F2" s="7"/>
      <c r="G2" s="7"/>
      <c r="H2" s="7"/>
      <c r="I2" s="7"/>
      <c r="J2" s="7"/>
      <c r="K2" s="7"/>
      <c r="L2" s="7"/>
      <c r="M2" s="7"/>
      <c r="N2" s="7"/>
      <c r="O2" s="7"/>
      <c r="P2" s="7"/>
      <c r="Q2" s="7"/>
      <c r="R2" s="7"/>
      <c r="S2" s="7"/>
      <c r="T2" s="7"/>
      <c r="U2" s="7"/>
      <c r="V2" s="7"/>
      <c r="W2" s="7"/>
      <c r="X2" s="7"/>
      <c r="Y2" s="7"/>
      <c r="Z2" s="7"/>
    </row>
    <row r="3" ht="14.25" customHeight="1">
      <c r="A3" s="15">
        <v>2.0</v>
      </c>
      <c r="B3" s="19" t="s">
        <v>37</v>
      </c>
      <c r="C3" s="17">
        <v>46150.0</v>
      </c>
      <c r="D3" s="17">
        <v>46151.0</v>
      </c>
      <c r="E3" s="20" t="s">
        <v>38</v>
      </c>
      <c r="F3" s="7"/>
      <c r="G3" s="7"/>
      <c r="H3" s="7"/>
      <c r="I3" s="7"/>
      <c r="J3" s="7"/>
      <c r="K3" s="7"/>
      <c r="L3" s="7"/>
      <c r="M3" s="7"/>
      <c r="N3" s="7"/>
      <c r="O3" s="7"/>
      <c r="P3" s="7"/>
      <c r="Q3" s="7"/>
      <c r="R3" s="7"/>
      <c r="S3" s="7"/>
      <c r="T3" s="7"/>
      <c r="U3" s="7"/>
      <c r="V3" s="7"/>
      <c r="W3" s="7"/>
      <c r="X3" s="7"/>
      <c r="Y3" s="7"/>
      <c r="Z3" s="7"/>
    </row>
    <row r="4" ht="14.25" customHeight="1">
      <c r="A4" s="15">
        <v>3.0</v>
      </c>
      <c r="B4" s="21" t="s">
        <v>39</v>
      </c>
      <c r="C4" s="17">
        <v>46153.0</v>
      </c>
      <c r="D4" s="17">
        <v>46154.0</v>
      </c>
      <c r="E4" s="22" t="s">
        <v>40</v>
      </c>
      <c r="F4" s="7"/>
      <c r="G4" s="7"/>
      <c r="H4" s="7"/>
      <c r="I4" s="7"/>
      <c r="J4" s="7"/>
      <c r="K4" s="7"/>
      <c r="L4" s="7"/>
      <c r="M4" s="7"/>
      <c r="N4" s="7"/>
      <c r="O4" s="7"/>
      <c r="P4" s="7"/>
      <c r="Q4" s="7"/>
      <c r="R4" s="7"/>
      <c r="S4" s="7"/>
      <c r="T4" s="7"/>
      <c r="U4" s="7"/>
      <c r="V4" s="7"/>
      <c r="W4" s="7"/>
      <c r="X4" s="7"/>
      <c r="Y4" s="7"/>
      <c r="Z4" s="7"/>
    </row>
    <row r="5" ht="14.25" customHeight="1">
      <c r="A5" s="15">
        <v>4.0</v>
      </c>
      <c r="B5" s="23" t="s">
        <v>41</v>
      </c>
      <c r="C5" s="17">
        <v>46155.0</v>
      </c>
      <c r="D5" s="17">
        <v>46156.0</v>
      </c>
      <c r="E5" s="24" t="s">
        <v>42</v>
      </c>
      <c r="F5" s="7"/>
      <c r="G5" s="7"/>
      <c r="H5" s="7"/>
      <c r="I5" s="7"/>
      <c r="J5" s="7"/>
      <c r="K5" s="7"/>
      <c r="L5" s="7"/>
      <c r="M5" s="7"/>
      <c r="N5" s="7"/>
      <c r="O5" s="7"/>
      <c r="P5" s="7"/>
      <c r="Q5" s="7"/>
      <c r="R5" s="7"/>
      <c r="S5" s="7"/>
      <c r="T5" s="7"/>
      <c r="U5" s="7"/>
      <c r="V5" s="7"/>
      <c r="W5" s="7"/>
      <c r="X5" s="7"/>
      <c r="Y5" s="7"/>
      <c r="Z5" s="7"/>
    </row>
    <row r="6" ht="14.25" customHeight="1">
      <c r="A6" s="8">
        <v>5.0</v>
      </c>
      <c r="B6" s="23" t="s">
        <v>43</v>
      </c>
      <c r="C6" s="25">
        <v>46157.0</v>
      </c>
      <c r="D6" s="25">
        <v>46157.0</v>
      </c>
      <c r="E6" s="24" t="s">
        <v>44</v>
      </c>
      <c r="F6" s="7"/>
      <c r="G6" s="7"/>
      <c r="H6" s="7"/>
      <c r="I6" s="7"/>
      <c r="J6" s="7"/>
      <c r="K6" s="7"/>
      <c r="L6" s="7"/>
      <c r="M6" s="7"/>
      <c r="N6" s="7"/>
      <c r="O6" s="7"/>
      <c r="P6" s="7"/>
      <c r="Q6" s="7"/>
      <c r="R6" s="7"/>
      <c r="S6" s="7"/>
      <c r="T6" s="7"/>
      <c r="U6" s="7"/>
      <c r="V6" s="7"/>
      <c r="W6" s="7"/>
      <c r="X6" s="7"/>
      <c r="Y6" s="7"/>
      <c r="Z6" s="7"/>
    </row>
    <row r="7" ht="14.25" customHeight="1">
      <c r="A7" s="8">
        <v>6.0</v>
      </c>
      <c r="B7" s="26" t="s">
        <v>45</v>
      </c>
      <c r="C7" s="25">
        <v>46158.0</v>
      </c>
      <c r="D7" s="25">
        <v>46158.0</v>
      </c>
      <c r="E7" s="24" t="s">
        <v>46</v>
      </c>
      <c r="F7" s="7"/>
      <c r="G7" s="7"/>
      <c r="H7" s="7"/>
      <c r="I7" s="7"/>
      <c r="J7" s="7"/>
      <c r="K7" s="7"/>
      <c r="L7" s="7"/>
      <c r="M7" s="7"/>
      <c r="N7" s="7"/>
      <c r="O7" s="7"/>
      <c r="P7" s="7"/>
      <c r="Q7" s="7"/>
      <c r="R7" s="7"/>
      <c r="S7" s="7"/>
      <c r="T7" s="7"/>
      <c r="U7" s="7"/>
      <c r="V7" s="7"/>
      <c r="W7" s="7"/>
      <c r="X7" s="7"/>
      <c r="Y7" s="7"/>
      <c r="Z7" s="7"/>
    </row>
    <row r="8" ht="14.25" customHeight="1">
      <c r="A8" s="8">
        <v>7.0</v>
      </c>
      <c r="B8" s="26" t="s">
        <v>47</v>
      </c>
      <c r="C8" s="25">
        <v>46158.0</v>
      </c>
      <c r="D8" s="25">
        <v>46160.0</v>
      </c>
      <c r="E8" s="27" t="s">
        <v>48</v>
      </c>
      <c r="F8" s="7"/>
      <c r="G8" s="7"/>
      <c r="H8" s="7"/>
      <c r="I8" s="7"/>
      <c r="J8" s="7"/>
      <c r="K8" s="7"/>
      <c r="L8" s="7"/>
      <c r="M8" s="7"/>
      <c r="N8" s="7"/>
      <c r="O8" s="7"/>
      <c r="P8" s="7"/>
      <c r="Q8" s="7"/>
      <c r="R8" s="7"/>
      <c r="S8" s="7"/>
      <c r="T8" s="7"/>
      <c r="U8" s="7"/>
      <c r="V8" s="7"/>
      <c r="W8" s="7"/>
      <c r="X8" s="7"/>
      <c r="Y8" s="7"/>
      <c r="Z8" s="7"/>
    </row>
    <row r="9" ht="14.25" customHeight="1">
      <c r="A9" s="8">
        <v>8.0</v>
      </c>
      <c r="B9" s="26" t="s">
        <v>49</v>
      </c>
      <c r="C9" s="25">
        <v>46160.0</v>
      </c>
      <c r="D9" s="25">
        <v>46161.0</v>
      </c>
      <c r="E9" s="26" t="s">
        <v>50</v>
      </c>
      <c r="F9" s="7"/>
      <c r="G9" s="7"/>
      <c r="H9" s="7"/>
      <c r="I9" s="7"/>
      <c r="J9" s="7"/>
      <c r="K9" s="7"/>
      <c r="L9" s="7"/>
      <c r="M9" s="7"/>
      <c r="N9" s="7"/>
      <c r="O9" s="7"/>
      <c r="P9" s="7"/>
      <c r="Q9" s="7"/>
      <c r="R9" s="7"/>
      <c r="S9" s="7"/>
      <c r="T9" s="7"/>
      <c r="U9" s="7"/>
      <c r="V9" s="7"/>
      <c r="W9" s="7"/>
      <c r="X9" s="7"/>
      <c r="Y9" s="7"/>
      <c r="Z9" s="7"/>
    </row>
    <row r="10" ht="14.25" customHeight="1">
      <c r="A10" s="8">
        <v>9.0</v>
      </c>
      <c r="B10" s="28" t="s">
        <v>51</v>
      </c>
      <c r="C10" s="25">
        <v>46162.0</v>
      </c>
      <c r="D10" s="25">
        <v>46163.0</v>
      </c>
      <c r="E10" s="29" t="s">
        <v>52</v>
      </c>
      <c r="F10" s="7"/>
      <c r="G10" s="7"/>
      <c r="H10" s="7"/>
      <c r="I10" s="7"/>
      <c r="J10" s="7"/>
      <c r="K10" s="7"/>
      <c r="L10" s="7"/>
      <c r="M10" s="7"/>
      <c r="N10" s="7"/>
      <c r="O10" s="7"/>
      <c r="P10" s="7"/>
      <c r="Q10" s="7"/>
      <c r="R10" s="7"/>
      <c r="S10" s="7"/>
      <c r="T10" s="7"/>
      <c r="U10" s="7"/>
      <c r="V10" s="7"/>
      <c r="W10" s="7"/>
      <c r="X10" s="7"/>
      <c r="Y10" s="7"/>
      <c r="Z10" s="7"/>
    </row>
    <row r="11" ht="14.25" customHeight="1">
      <c r="A11" s="8">
        <v>10.0</v>
      </c>
      <c r="B11" s="30" t="s">
        <v>53</v>
      </c>
      <c r="C11" s="25">
        <v>46163.0</v>
      </c>
      <c r="D11" s="25">
        <v>46164.0</v>
      </c>
      <c r="E11" s="8" t="s">
        <v>54</v>
      </c>
      <c r="F11" s="7"/>
      <c r="G11" s="7"/>
      <c r="H11" s="7"/>
      <c r="I11" s="7"/>
      <c r="J11" s="7"/>
      <c r="K11" s="7"/>
      <c r="L11" s="7"/>
      <c r="M11" s="7"/>
      <c r="N11" s="7"/>
      <c r="O11" s="7"/>
      <c r="P11" s="7"/>
      <c r="Q11" s="7"/>
      <c r="R11" s="7"/>
      <c r="S11" s="7"/>
      <c r="T11" s="7"/>
      <c r="U11" s="7"/>
      <c r="V11" s="7"/>
      <c r="W11" s="7"/>
      <c r="X11" s="7"/>
      <c r="Y11" s="7"/>
      <c r="Z11" s="7"/>
    </row>
    <row r="12" ht="14.25" customHeight="1">
      <c r="A12" s="8">
        <v>11.0</v>
      </c>
      <c r="B12" s="30" t="s">
        <v>55</v>
      </c>
      <c r="C12" s="25">
        <v>46167.0</v>
      </c>
      <c r="D12" s="25">
        <v>46168.0</v>
      </c>
      <c r="E12" s="8" t="s">
        <v>56</v>
      </c>
      <c r="F12" s="8"/>
      <c r="G12" s="8"/>
      <c r="H12" s="8"/>
      <c r="I12" s="8"/>
      <c r="J12" s="8"/>
      <c r="K12" s="8"/>
      <c r="L12" s="8"/>
      <c r="M12" s="8"/>
      <c r="N12" s="8"/>
      <c r="O12" s="8"/>
      <c r="P12" s="8"/>
      <c r="Q12" s="8"/>
      <c r="R12" s="8"/>
      <c r="S12" s="8"/>
      <c r="T12" s="8"/>
      <c r="U12" s="8"/>
      <c r="V12" s="8"/>
      <c r="W12" s="8"/>
      <c r="X12" s="7"/>
      <c r="Y12" s="7"/>
      <c r="Z12" s="7"/>
    </row>
    <row r="13" ht="14.25" customHeight="1">
      <c r="A13" s="11">
        <v>12.0</v>
      </c>
      <c r="B13" s="12" t="s">
        <v>57</v>
      </c>
      <c r="C13" s="31">
        <v>46169.0</v>
      </c>
      <c r="D13" s="31">
        <v>46170.0</v>
      </c>
      <c r="E13" s="12" t="s">
        <v>58</v>
      </c>
      <c r="F13" s="12"/>
      <c r="G13" s="12"/>
      <c r="H13" s="12"/>
      <c r="I13" s="12"/>
      <c r="J13" s="12"/>
      <c r="K13" s="12"/>
      <c r="L13" s="12"/>
      <c r="M13" s="12"/>
      <c r="N13" s="12"/>
      <c r="O13" s="12"/>
      <c r="P13" s="12"/>
      <c r="Q13" s="8"/>
      <c r="R13" s="8"/>
      <c r="S13" s="8"/>
      <c r="T13" s="8"/>
      <c r="U13" s="8"/>
      <c r="V13" s="8"/>
      <c r="W13" s="8"/>
      <c r="X13" s="7"/>
      <c r="Y13" s="7"/>
      <c r="Z13" s="7"/>
    </row>
    <row r="14" ht="14.25" customHeight="1">
      <c r="A14" s="11">
        <v>13.0</v>
      </c>
      <c r="B14" s="12" t="s">
        <v>59</v>
      </c>
      <c r="C14" s="31">
        <v>46171.0</v>
      </c>
      <c r="D14" s="31">
        <v>46172.0</v>
      </c>
      <c r="E14" s="12" t="s">
        <v>60</v>
      </c>
      <c r="F14" s="12"/>
      <c r="G14" s="12"/>
      <c r="H14" s="12"/>
      <c r="I14" s="12"/>
      <c r="J14" s="12"/>
      <c r="K14" s="12"/>
      <c r="L14" s="12"/>
      <c r="M14" s="12"/>
      <c r="N14" s="12"/>
      <c r="O14" s="12"/>
      <c r="P14" s="12"/>
      <c r="Q14" s="8"/>
      <c r="R14" s="8"/>
      <c r="S14" s="8"/>
      <c r="T14" s="8"/>
      <c r="U14" s="8"/>
      <c r="V14" s="8"/>
      <c r="W14" s="8"/>
      <c r="X14" s="7"/>
      <c r="Y14" s="7"/>
      <c r="Z14" s="7"/>
    </row>
    <row r="15" ht="14.25" customHeight="1">
      <c r="A15" s="11">
        <v>14.0</v>
      </c>
      <c r="B15" s="12" t="s">
        <v>61</v>
      </c>
      <c r="C15" s="31">
        <v>46174.0</v>
      </c>
      <c r="D15" s="31">
        <v>46175.0</v>
      </c>
      <c r="E15" s="12" t="s">
        <v>62</v>
      </c>
      <c r="F15" s="12"/>
      <c r="G15" s="12"/>
      <c r="H15" s="12"/>
      <c r="I15" s="12"/>
      <c r="J15" s="12"/>
      <c r="K15" s="12"/>
      <c r="L15" s="12"/>
      <c r="M15" s="12"/>
      <c r="N15" s="12"/>
      <c r="O15" s="12"/>
      <c r="P15" s="12"/>
      <c r="Q15" s="8"/>
      <c r="R15" s="8"/>
      <c r="S15" s="8"/>
      <c r="T15" s="8"/>
      <c r="U15" s="8"/>
      <c r="V15" s="8"/>
      <c r="W15" s="8"/>
      <c r="X15" s="7"/>
      <c r="Y15" s="7"/>
      <c r="Z15" s="7"/>
    </row>
    <row r="16" ht="14.25" customHeight="1">
      <c r="A16" s="11">
        <v>15.0</v>
      </c>
      <c r="B16" s="12" t="s">
        <v>63</v>
      </c>
      <c r="C16" s="31">
        <v>46176.0</v>
      </c>
      <c r="D16" s="31">
        <v>46176.0</v>
      </c>
      <c r="E16" s="12" t="s">
        <v>64</v>
      </c>
      <c r="F16" s="12"/>
      <c r="G16" s="12"/>
      <c r="H16" s="12"/>
      <c r="I16" s="12"/>
      <c r="J16" s="12"/>
      <c r="K16" s="12"/>
      <c r="L16" s="12"/>
      <c r="M16" s="12"/>
      <c r="N16" s="12"/>
      <c r="O16" s="12"/>
      <c r="P16" s="12"/>
      <c r="Q16" s="8"/>
      <c r="R16" s="8"/>
      <c r="S16" s="8"/>
      <c r="T16" s="8"/>
      <c r="U16" s="8"/>
      <c r="V16" s="8"/>
      <c r="W16" s="8"/>
      <c r="X16" s="7"/>
      <c r="Y16" s="7"/>
      <c r="Z16" s="7"/>
    </row>
    <row r="17" ht="14.25" customHeight="1">
      <c r="A17" s="32">
        <v>16.0</v>
      </c>
      <c r="B17" s="11" t="s">
        <v>65</v>
      </c>
      <c r="C17" s="33">
        <v>46176.0</v>
      </c>
      <c r="D17" s="33">
        <v>46177.0</v>
      </c>
      <c r="E17" s="11" t="s">
        <v>66</v>
      </c>
      <c r="F17" s="8"/>
      <c r="G17" s="8"/>
      <c r="H17" s="8"/>
      <c r="I17" s="8"/>
      <c r="J17" s="8"/>
      <c r="K17" s="8"/>
      <c r="L17" s="8"/>
      <c r="M17" s="8"/>
      <c r="N17" s="8"/>
      <c r="O17" s="8"/>
      <c r="P17" s="8"/>
      <c r="Q17" s="8"/>
      <c r="R17" s="8"/>
      <c r="S17" s="8"/>
      <c r="T17" s="8"/>
      <c r="U17" s="8"/>
      <c r="V17" s="8"/>
      <c r="W17" s="8"/>
      <c r="X17" s="8"/>
      <c r="Y17" s="8"/>
      <c r="Z17" s="8"/>
    </row>
    <row r="18" ht="14.25" customHeight="1">
      <c r="A18" s="11">
        <v>17.0</v>
      </c>
      <c r="B18" s="11" t="s">
        <v>67</v>
      </c>
      <c r="C18" s="33">
        <v>46178.0</v>
      </c>
      <c r="D18" s="33">
        <v>46179.0</v>
      </c>
      <c r="E18" s="11" t="s">
        <v>68</v>
      </c>
      <c r="F18" s="8"/>
      <c r="G18" s="8"/>
      <c r="H18" s="8"/>
      <c r="I18" s="8"/>
      <c r="J18" s="8"/>
      <c r="K18" s="8"/>
      <c r="L18" s="8"/>
      <c r="M18" s="8"/>
      <c r="N18" s="8"/>
      <c r="O18" s="8"/>
      <c r="P18" s="8"/>
      <c r="Q18" s="8"/>
      <c r="R18" s="8"/>
      <c r="S18" s="8"/>
      <c r="T18" s="8"/>
      <c r="U18" s="8"/>
      <c r="V18" s="8"/>
      <c r="W18" s="8"/>
      <c r="X18" s="8"/>
      <c r="Y18" s="8"/>
      <c r="Z18" s="8"/>
    </row>
    <row r="19" ht="14.25" customHeight="1">
      <c r="A19" s="11">
        <v>18.0</v>
      </c>
      <c r="B19" s="11" t="s">
        <v>69</v>
      </c>
      <c r="C19" s="33">
        <v>46179.0</v>
      </c>
      <c r="D19" s="33">
        <v>46179.0</v>
      </c>
      <c r="E19" s="11" t="s">
        <v>70</v>
      </c>
      <c r="F19" s="8"/>
      <c r="G19" s="8"/>
      <c r="H19" s="8"/>
      <c r="I19" s="8"/>
      <c r="J19" s="8"/>
      <c r="K19" s="8"/>
      <c r="L19" s="8"/>
      <c r="M19" s="8"/>
      <c r="N19" s="8"/>
      <c r="O19" s="8"/>
      <c r="P19" s="8"/>
      <c r="Q19" s="8"/>
      <c r="R19" s="8"/>
      <c r="S19" s="8"/>
      <c r="T19" s="8"/>
      <c r="U19" s="8"/>
      <c r="V19" s="8"/>
      <c r="W19" s="8"/>
      <c r="X19" s="8"/>
      <c r="Y19" s="8"/>
      <c r="Z19" s="8"/>
    </row>
    <row r="20" ht="14.25" customHeight="1">
      <c r="A20" s="11">
        <v>19.0</v>
      </c>
      <c r="B20" s="11" t="s">
        <v>71</v>
      </c>
      <c r="C20" s="33">
        <v>46180.0</v>
      </c>
      <c r="D20" s="33">
        <v>46182.0</v>
      </c>
      <c r="E20" s="11" t="s">
        <v>72</v>
      </c>
      <c r="F20" s="8"/>
      <c r="G20" s="8"/>
      <c r="H20" s="8"/>
      <c r="I20" s="8"/>
      <c r="J20" s="8"/>
      <c r="K20" s="8"/>
      <c r="L20" s="8"/>
      <c r="M20" s="8"/>
      <c r="N20" s="8"/>
      <c r="O20" s="8"/>
      <c r="P20" s="8"/>
      <c r="Q20" s="8"/>
      <c r="R20" s="8"/>
      <c r="S20" s="8"/>
      <c r="T20" s="8"/>
      <c r="U20" s="8"/>
      <c r="V20" s="8"/>
      <c r="W20" s="8"/>
      <c r="X20" s="8"/>
      <c r="Y20" s="8"/>
      <c r="Z20" s="8"/>
    </row>
    <row r="21" ht="15.75" customHeight="1">
      <c r="A21" s="11">
        <v>20.0</v>
      </c>
      <c r="B21" s="11" t="s">
        <v>73</v>
      </c>
      <c r="C21" s="33">
        <v>46182.0</v>
      </c>
      <c r="D21" s="34">
        <v>46183.0</v>
      </c>
      <c r="E21" s="11" t="s">
        <v>74</v>
      </c>
      <c r="F21" s="8"/>
      <c r="G21" s="8"/>
      <c r="H21" s="8"/>
      <c r="I21" s="8"/>
      <c r="J21" s="8"/>
      <c r="K21" s="8"/>
      <c r="L21" s="8"/>
      <c r="M21" s="8"/>
      <c r="N21" s="8"/>
      <c r="O21" s="8"/>
      <c r="P21" s="8"/>
      <c r="Q21" s="8"/>
      <c r="R21" s="8"/>
      <c r="S21" s="8"/>
      <c r="T21" s="8"/>
      <c r="U21" s="8"/>
      <c r="V21" s="8"/>
      <c r="W21" s="8"/>
      <c r="X21" s="8"/>
      <c r="Y21" s="8"/>
      <c r="Z21" s="8"/>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14"/>
    <col customWidth="1" min="2" max="2" width="6.57"/>
    <col customWidth="1" min="3" max="3" width="13.43"/>
    <col customWidth="1" min="4" max="4" width="25.43"/>
    <col customWidth="1" min="5" max="5" width="12.57"/>
    <col customWidth="1" min="6" max="6" width="12.0"/>
    <col customWidth="1" min="7" max="7" width="10.14"/>
    <col customWidth="1" min="8" max="8" width="13.0"/>
    <col customWidth="1" min="9" max="12" width="6.57"/>
    <col customWidth="1" min="13" max="26" width="12.57"/>
  </cols>
  <sheetData>
    <row r="1" ht="14.25" customHeight="1">
      <c r="A1" s="35" t="s">
        <v>30</v>
      </c>
      <c r="B1" s="36" t="s">
        <v>11</v>
      </c>
      <c r="C1" s="36" t="s">
        <v>75</v>
      </c>
      <c r="D1" s="36" t="s">
        <v>76</v>
      </c>
      <c r="E1" s="36" t="s">
        <v>77</v>
      </c>
      <c r="F1" s="36" t="s">
        <v>78</v>
      </c>
      <c r="G1" s="36" t="s">
        <v>79</v>
      </c>
      <c r="H1" s="36" t="s">
        <v>80</v>
      </c>
      <c r="I1" s="37"/>
      <c r="J1" s="38"/>
      <c r="K1" s="38"/>
      <c r="L1" s="38"/>
      <c r="M1" s="26"/>
      <c r="N1" s="26"/>
      <c r="O1" s="26"/>
      <c r="P1" s="26"/>
      <c r="Q1" s="26"/>
      <c r="R1" s="26"/>
      <c r="S1" s="26"/>
      <c r="T1" s="26"/>
      <c r="U1" s="26"/>
      <c r="V1" s="26"/>
      <c r="W1" s="26"/>
      <c r="X1" s="26"/>
      <c r="Y1" s="26"/>
      <c r="Z1" s="26"/>
    </row>
    <row r="2" ht="14.25" customHeight="1">
      <c r="A2" s="23">
        <v>1.0</v>
      </c>
      <c r="B2" s="39" t="s">
        <v>81</v>
      </c>
      <c r="C2" s="40" t="s">
        <v>82</v>
      </c>
      <c r="D2" s="41" t="s">
        <v>35</v>
      </c>
      <c r="E2" s="39" t="s">
        <v>83</v>
      </c>
      <c r="F2" s="23">
        <v>5.0</v>
      </c>
      <c r="G2" s="39" t="s">
        <v>84</v>
      </c>
      <c r="H2" s="23" t="s">
        <v>85</v>
      </c>
      <c r="I2" s="37"/>
      <c r="J2" s="38"/>
      <c r="K2" s="38"/>
      <c r="L2" s="38"/>
      <c r="M2" s="26"/>
      <c r="N2" s="26"/>
      <c r="O2" s="26"/>
      <c r="P2" s="26"/>
      <c r="Q2" s="26"/>
      <c r="R2" s="26"/>
      <c r="S2" s="26"/>
      <c r="T2" s="26"/>
      <c r="U2" s="26"/>
      <c r="V2" s="26"/>
      <c r="W2" s="26"/>
      <c r="X2" s="26"/>
      <c r="Y2" s="26"/>
      <c r="Z2" s="26"/>
    </row>
    <row r="3" ht="14.25" customHeight="1">
      <c r="A3" s="23">
        <v>1.0</v>
      </c>
      <c r="B3" s="39" t="s">
        <v>81</v>
      </c>
      <c r="C3" s="40" t="s">
        <v>82</v>
      </c>
      <c r="D3" s="41" t="s">
        <v>35</v>
      </c>
      <c r="E3" s="39" t="s">
        <v>22</v>
      </c>
      <c r="F3" s="23">
        <v>5.0</v>
      </c>
      <c r="G3" s="39" t="s">
        <v>84</v>
      </c>
      <c r="H3" s="39" t="s">
        <v>83</v>
      </c>
      <c r="I3" s="37"/>
      <c r="J3" s="38"/>
      <c r="K3" s="38"/>
      <c r="L3" s="38"/>
      <c r="M3" s="26"/>
      <c r="N3" s="26"/>
      <c r="O3" s="26"/>
      <c r="P3" s="26"/>
      <c r="Q3" s="26"/>
      <c r="R3" s="26"/>
      <c r="S3" s="26"/>
      <c r="T3" s="26"/>
      <c r="U3" s="26"/>
      <c r="V3" s="26"/>
      <c r="W3" s="26"/>
      <c r="X3" s="26"/>
      <c r="Y3" s="26"/>
      <c r="Z3" s="26"/>
    </row>
    <row r="4" ht="14.25" customHeight="1">
      <c r="A4" s="23">
        <v>1.0</v>
      </c>
      <c r="B4" s="39" t="s">
        <v>81</v>
      </c>
      <c r="C4" s="40" t="s">
        <v>82</v>
      </c>
      <c r="D4" s="41" t="s">
        <v>35</v>
      </c>
      <c r="E4" s="39" t="s">
        <v>24</v>
      </c>
      <c r="F4" s="23">
        <v>5.0</v>
      </c>
      <c r="G4" s="39" t="s">
        <v>84</v>
      </c>
      <c r="H4" s="39" t="s">
        <v>22</v>
      </c>
      <c r="I4" s="37"/>
      <c r="J4" s="38"/>
      <c r="K4" s="38"/>
      <c r="L4" s="38"/>
      <c r="M4" s="26"/>
      <c r="N4" s="26"/>
      <c r="O4" s="26"/>
      <c r="P4" s="26"/>
      <c r="Q4" s="26"/>
      <c r="R4" s="26"/>
      <c r="S4" s="26"/>
      <c r="T4" s="26"/>
      <c r="U4" s="26"/>
      <c r="V4" s="26"/>
      <c r="W4" s="26"/>
      <c r="X4" s="26"/>
      <c r="Y4" s="26"/>
      <c r="Z4" s="26"/>
    </row>
    <row r="5" ht="14.25" customHeight="1">
      <c r="A5" s="23">
        <v>1.0</v>
      </c>
      <c r="B5" s="39" t="s">
        <v>81</v>
      </c>
      <c r="C5" s="40" t="s">
        <v>82</v>
      </c>
      <c r="D5" s="41" t="s">
        <v>35</v>
      </c>
      <c r="E5" s="39" t="s">
        <v>25</v>
      </c>
      <c r="F5" s="23">
        <v>5.0</v>
      </c>
      <c r="G5" s="39" t="s">
        <v>84</v>
      </c>
      <c r="H5" s="39" t="s">
        <v>24</v>
      </c>
      <c r="I5" s="37"/>
      <c r="J5" s="38"/>
      <c r="K5" s="38"/>
      <c r="L5" s="38"/>
      <c r="M5" s="26"/>
      <c r="N5" s="26"/>
      <c r="O5" s="26"/>
      <c r="P5" s="26"/>
      <c r="Q5" s="26"/>
      <c r="R5" s="26"/>
      <c r="S5" s="26"/>
      <c r="T5" s="26"/>
      <c r="U5" s="26"/>
      <c r="V5" s="26"/>
      <c r="W5" s="26"/>
      <c r="X5" s="26"/>
      <c r="Y5" s="26"/>
      <c r="Z5" s="26"/>
    </row>
    <row r="6" ht="14.25" customHeight="1">
      <c r="A6" s="23">
        <v>1.0</v>
      </c>
      <c r="B6" s="39" t="s">
        <v>81</v>
      </c>
      <c r="C6" s="40" t="s">
        <v>82</v>
      </c>
      <c r="D6" s="41" t="s">
        <v>35</v>
      </c>
      <c r="E6" s="39" t="s">
        <v>26</v>
      </c>
      <c r="F6" s="23">
        <v>5.0</v>
      </c>
      <c r="G6" s="39" t="s">
        <v>84</v>
      </c>
      <c r="H6" s="39" t="s">
        <v>25</v>
      </c>
      <c r="I6" s="37"/>
      <c r="J6" s="38"/>
      <c r="K6" s="38"/>
      <c r="L6" s="38"/>
      <c r="M6" s="26"/>
      <c r="N6" s="26"/>
      <c r="O6" s="26"/>
      <c r="P6" s="26"/>
      <c r="Q6" s="26"/>
      <c r="R6" s="26"/>
      <c r="S6" s="26"/>
      <c r="T6" s="26"/>
      <c r="U6" s="26"/>
      <c r="V6" s="26"/>
      <c r="W6" s="26"/>
      <c r="X6" s="26"/>
      <c r="Y6" s="26"/>
      <c r="Z6" s="26"/>
    </row>
    <row r="7" ht="14.25" customHeight="1">
      <c r="A7" s="23">
        <v>1.0</v>
      </c>
      <c r="B7" s="39" t="s">
        <v>81</v>
      </c>
      <c r="C7" s="40" t="s">
        <v>82</v>
      </c>
      <c r="D7" s="41" t="s">
        <v>35</v>
      </c>
      <c r="E7" s="39" t="s">
        <v>27</v>
      </c>
      <c r="F7" s="23">
        <v>5.0</v>
      </c>
      <c r="G7" s="39" t="s">
        <v>84</v>
      </c>
      <c r="H7" s="39" t="s">
        <v>26</v>
      </c>
      <c r="I7" s="37"/>
      <c r="J7" s="38"/>
      <c r="K7" s="38"/>
      <c r="L7" s="38"/>
      <c r="M7" s="26"/>
      <c r="N7" s="26"/>
      <c r="O7" s="26"/>
      <c r="P7" s="26"/>
      <c r="Q7" s="26"/>
      <c r="R7" s="26"/>
      <c r="S7" s="26"/>
      <c r="T7" s="26"/>
      <c r="U7" s="26"/>
      <c r="V7" s="26"/>
      <c r="W7" s="26"/>
      <c r="X7" s="26"/>
      <c r="Y7" s="26"/>
      <c r="Z7" s="26"/>
    </row>
    <row r="8" ht="14.25" customHeight="1">
      <c r="A8" s="23">
        <v>2.0</v>
      </c>
      <c r="B8" s="39" t="s">
        <v>81</v>
      </c>
      <c r="C8" s="40" t="s">
        <v>86</v>
      </c>
      <c r="D8" s="42" t="s">
        <v>37</v>
      </c>
      <c r="E8" s="39" t="s">
        <v>83</v>
      </c>
      <c r="F8" s="23">
        <v>4.0</v>
      </c>
      <c r="G8" s="39" t="s">
        <v>84</v>
      </c>
      <c r="H8" s="39" t="s">
        <v>25</v>
      </c>
      <c r="I8" s="37"/>
      <c r="J8" s="38"/>
      <c r="K8" s="38"/>
      <c r="L8" s="38"/>
      <c r="M8" s="26"/>
      <c r="N8" s="26"/>
      <c r="O8" s="26"/>
      <c r="P8" s="26"/>
      <c r="Q8" s="26"/>
      <c r="R8" s="26"/>
      <c r="S8" s="26"/>
      <c r="T8" s="26"/>
      <c r="U8" s="26"/>
      <c r="V8" s="26"/>
      <c r="W8" s="26"/>
      <c r="X8" s="26"/>
      <c r="Y8" s="26"/>
      <c r="Z8" s="26"/>
    </row>
    <row r="9" ht="14.25" customHeight="1">
      <c r="A9" s="23">
        <v>2.0</v>
      </c>
      <c r="B9" s="39" t="s">
        <v>81</v>
      </c>
      <c r="C9" s="40" t="s">
        <v>86</v>
      </c>
      <c r="D9" s="43" t="s">
        <v>37</v>
      </c>
      <c r="E9" s="39" t="s">
        <v>22</v>
      </c>
      <c r="F9" s="23">
        <v>4.0</v>
      </c>
      <c r="G9" s="39" t="s">
        <v>84</v>
      </c>
      <c r="H9" s="39" t="s">
        <v>26</v>
      </c>
      <c r="I9" s="37"/>
      <c r="J9" s="38"/>
      <c r="K9" s="38"/>
      <c r="L9" s="38"/>
      <c r="M9" s="26"/>
      <c r="N9" s="26"/>
      <c r="O9" s="26"/>
      <c r="P9" s="26"/>
      <c r="Q9" s="26"/>
      <c r="R9" s="26"/>
      <c r="S9" s="26"/>
      <c r="T9" s="26"/>
      <c r="U9" s="26"/>
      <c r="V9" s="26"/>
      <c r="W9" s="26"/>
      <c r="X9" s="26"/>
      <c r="Y9" s="26"/>
      <c r="Z9" s="26"/>
    </row>
    <row r="10" ht="14.25" customHeight="1">
      <c r="A10" s="23">
        <v>2.0</v>
      </c>
      <c r="B10" s="39" t="s">
        <v>81</v>
      </c>
      <c r="C10" s="40" t="s">
        <v>86</v>
      </c>
      <c r="D10" s="43" t="s">
        <v>37</v>
      </c>
      <c r="E10" s="39" t="s">
        <v>24</v>
      </c>
      <c r="F10" s="23">
        <v>4.0</v>
      </c>
      <c r="G10" s="39" t="s">
        <v>84</v>
      </c>
      <c r="H10" s="39" t="s">
        <v>22</v>
      </c>
      <c r="I10" s="37"/>
      <c r="J10" s="38"/>
      <c r="K10" s="38"/>
      <c r="L10" s="38"/>
      <c r="M10" s="26"/>
      <c r="N10" s="26"/>
      <c r="O10" s="26"/>
      <c r="P10" s="26"/>
      <c r="Q10" s="26"/>
      <c r="R10" s="26"/>
      <c r="S10" s="26"/>
      <c r="T10" s="26"/>
      <c r="U10" s="26"/>
      <c r="V10" s="26"/>
      <c r="W10" s="26"/>
      <c r="X10" s="26"/>
      <c r="Y10" s="26"/>
      <c r="Z10" s="26"/>
    </row>
    <row r="11" ht="14.25" customHeight="1">
      <c r="A11" s="23">
        <v>2.0</v>
      </c>
      <c r="B11" s="39" t="s">
        <v>81</v>
      </c>
      <c r="C11" s="40" t="s">
        <v>86</v>
      </c>
      <c r="D11" s="43" t="s">
        <v>37</v>
      </c>
      <c r="E11" s="39" t="s">
        <v>26</v>
      </c>
      <c r="F11" s="23">
        <v>4.0</v>
      </c>
      <c r="G11" s="39" t="s">
        <v>84</v>
      </c>
      <c r="H11" s="39" t="s">
        <v>27</v>
      </c>
      <c r="I11" s="37"/>
      <c r="J11" s="38"/>
      <c r="K11" s="38"/>
      <c r="L11" s="38"/>
      <c r="M11" s="26"/>
      <c r="N11" s="26"/>
      <c r="O11" s="26"/>
      <c r="P11" s="26"/>
      <c r="Q11" s="26"/>
      <c r="R11" s="26"/>
      <c r="S11" s="26"/>
      <c r="T11" s="26"/>
      <c r="U11" s="26"/>
      <c r="V11" s="26"/>
      <c r="W11" s="26"/>
      <c r="X11" s="26"/>
      <c r="Y11" s="26"/>
      <c r="Z11" s="26"/>
    </row>
    <row r="12" ht="14.25" customHeight="1">
      <c r="A12" s="23">
        <v>2.0</v>
      </c>
      <c r="B12" s="39" t="s">
        <v>81</v>
      </c>
      <c r="C12" s="40" t="s">
        <v>86</v>
      </c>
      <c r="D12" s="43" t="s">
        <v>37</v>
      </c>
      <c r="E12" s="39" t="s">
        <v>27</v>
      </c>
      <c r="F12" s="23">
        <v>4.0</v>
      </c>
      <c r="G12" s="39" t="s">
        <v>84</v>
      </c>
      <c r="H12" s="23" t="s">
        <v>85</v>
      </c>
      <c r="I12" s="37"/>
      <c r="J12" s="38"/>
      <c r="K12" s="38"/>
      <c r="L12" s="38"/>
      <c r="M12" s="26"/>
      <c r="N12" s="26"/>
      <c r="O12" s="26"/>
      <c r="P12" s="26"/>
      <c r="Q12" s="26"/>
      <c r="R12" s="26"/>
      <c r="S12" s="26"/>
      <c r="T12" s="26"/>
      <c r="U12" s="26"/>
      <c r="V12" s="26"/>
      <c r="W12" s="26"/>
      <c r="X12" s="26"/>
      <c r="Y12" s="26"/>
      <c r="Z12" s="26"/>
    </row>
    <row r="13" ht="14.25" customHeight="1">
      <c r="A13" s="23">
        <v>2.0</v>
      </c>
      <c r="B13" s="39" t="s">
        <v>81</v>
      </c>
      <c r="C13" s="40" t="s">
        <v>86</v>
      </c>
      <c r="D13" s="43" t="s">
        <v>37</v>
      </c>
      <c r="E13" s="39" t="s">
        <v>25</v>
      </c>
      <c r="F13" s="23">
        <v>4.0</v>
      </c>
      <c r="G13" s="39" t="s">
        <v>84</v>
      </c>
      <c r="H13" s="39" t="s">
        <v>24</v>
      </c>
      <c r="I13" s="37"/>
      <c r="J13" s="38"/>
      <c r="K13" s="38"/>
      <c r="L13" s="38"/>
      <c r="M13" s="26"/>
      <c r="N13" s="26"/>
      <c r="O13" s="26"/>
      <c r="P13" s="26"/>
      <c r="Q13" s="26"/>
      <c r="R13" s="26"/>
      <c r="S13" s="26"/>
      <c r="T13" s="26"/>
      <c r="U13" s="26"/>
      <c r="V13" s="26"/>
      <c r="W13" s="26"/>
      <c r="X13" s="26"/>
      <c r="Y13" s="26"/>
      <c r="Z13" s="26"/>
    </row>
    <row r="14" ht="14.25" customHeight="1">
      <c r="A14" s="23">
        <v>3.0</v>
      </c>
      <c r="B14" s="39" t="s">
        <v>81</v>
      </c>
      <c r="C14" s="44" t="s">
        <v>87</v>
      </c>
      <c r="D14" s="43" t="s">
        <v>39</v>
      </c>
      <c r="E14" s="39" t="s">
        <v>22</v>
      </c>
      <c r="F14" s="23">
        <v>4.0</v>
      </c>
      <c r="G14" s="39" t="s">
        <v>84</v>
      </c>
      <c r="H14" s="39" t="s">
        <v>27</v>
      </c>
      <c r="I14" s="37"/>
      <c r="J14" s="38"/>
      <c r="K14" s="38"/>
      <c r="L14" s="38"/>
      <c r="M14" s="26"/>
      <c r="N14" s="26"/>
      <c r="O14" s="26"/>
      <c r="P14" s="26"/>
      <c r="Q14" s="26"/>
      <c r="R14" s="26"/>
      <c r="S14" s="26"/>
      <c r="T14" s="26"/>
      <c r="U14" s="26"/>
      <c r="V14" s="26"/>
      <c r="W14" s="26"/>
      <c r="X14" s="26"/>
      <c r="Y14" s="26"/>
      <c r="Z14" s="26"/>
    </row>
    <row r="15" ht="14.25" customHeight="1">
      <c r="A15" s="23">
        <v>3.0</v>
      </c>
      <c r="B15" s="39" t="s">
        <v>81</v>
      </c>
      <c r="C15" s="44" t="s">
        <v>87</v>
      </c>
      <c r="D15" s="43" t="s">
        <v>39</v>
      </c>
      <c r="E15" s="39" t="s">
        <v>24</v>
      </c>
      <c r="F15" s="23">
        <v>4.0</v>
      </c>
      <c r="G15" s="39" t="s">
        <v>84</v>
      </c>
      <c r="H15" s="23" t="s">
        <v>85</v>
      </c>
      <c r="I15" s="37"/>
      <c r="J15" s="38"/>
      <c r="K15" s="38"/>
      <c r="L15" s="38"/>
      <c r="M15" s="26"/>
      <c r="N15" s="26"/>
      <c r="O15" s="26"/>
      <c r="P15" s="26"/>
      <c r="Q15" s="26"/>
      <c r="R15" s="26"/>
      <c r="S15" s="26"/>
      <c r="T15" s="26"/>
      <c r="U15" s="26"/>
      <c r="V15" s="26"/>
      <c r="W15" s="26"/>
      <c r="X15" s="26"/>
      <c r="Y15" s="26"/>
      <c r="Z15" s="26"/>
    </row>
    <row r="16" ht="14.25" customHeight="1">
      <c r="A16" s="23">
        <v>3.0</v>
      </c>
      <c r="B16" s="39" t="s">
        <v>81</v>
      </c>
      <c r="C16" s="44" t="s">
        <v>87</v>
      </c>
      <c r="D16" s="43" t="s">
        <v>39</v>
      </c>
      <c r="E16" s="39" t="s">
        <v>25</v>
      </c>
      <c r="F16" s="23">
        <v>4.0</v>
      </c>
      <c r="G16" s="39" t="s">
        <v>84</v>
      </c>
      <c r="H16" s="39" t="s">
        <v>22</v>
      </c>
      <c r="I16" s="37"/>
      <c r="J16" s="38"/>
      <c r="K16" s="38"/>
      <c r="L16" s="38"/>
      <c r="M16" s="26"/>
      <c r="N16" s="26"/>
      <c r="O16" s="26"/>
      <c r="P16" s="26"/>
      <c r="Q16" s="26"/>
      <c r="R16" s="26"/>
      <c r="S16" s="26"/>
      <c r="T16" s="26"/>
      <c r="U16" s="26"/>
      <c r="V16" s="26"/>
      <c r="W16" s="26"/>
      <c r="X16" s="26"/>
      <c r="Y16" s="26"/>
      <c r="Z16" s="26"/>
    </row>
    <row r="17" ht="14.25" customHeight="1">
      <c r="A17" s="23">
        <v>3.0</v>
      </c>
      <c r="B17" s="39" t="s">
        <v>81</v>
      </c>
      <c r="C17" s="44" t="s">
        <v>87</v>
      </c>
      <c r="D17" s="43" t="s">
        <v>39</v>
      </c>
      <c r="E17" s="39" t="s">
        <v>26</v>
      </c>
      <c r="F17" s="23">
        <v>4.0</v>
      </c>
      <c r="G17" s="39" t="s">
        <v>84</v>
      </c>
      <c r="H17" s="39" t="s">
        <v>24</v>
      </c>
      <c r="I17" s="37"/>
      <c r="J17" s="38"/>
      <c r="K17" s="38"/>
      <c r="L17" s="38"/>
      <c r="M17" s="26"/>
      <c r="N17" s="26"/>
      <c r="O17" s="26"/>
      <c r="P17" s="26"/>
      <c r="Q17" s="26"/>
      <c r="R17" s="26"/>
      <c r="S17" s="26"/>
      <c r="T17" s="26"/>
      <c r="U17" s="26"/>
      <c r="V17" s="26"/>
      <c r="W17" s="26"/>
      <c r="X17" s="26"/>
      <c r="Y17" s="26"/>
      <c r="Z17" s="26"/>
    </row>
    <row r="18" ht="14.25" customHeight="1">
      <c r="A18" s="23">
        <v>3.0</v>
      </c>
      <c r="B18" s="39" t="s">
        <v>81</v>
      </c>
      <c r="C18" s="44" t="s">
        <v>87</v>
      </c>
      <c r="D18" s="43" t="s">
        <v>39</v>
      </c>
      <c r="E18" s="39" t="s">
        <v>83</v>
      </c>
      <c r="F18" s="23">
        <v>4.0</v>
      </c>
      <c r="G18" s="39" t="s">
        <v>84</v>
      </c>
      <c r="H18" s="39" t="s">
        <v>25</v>
      </c>
      <c r="I18" s="37"/>
      <c r="J18" s="38"/>
      <c r="K18" s="38"/>
      <c r="L18" s="38"/>
      <c r="M18" s="26"/>
      <c r="N18" s="26"/>
      <c r="O18" s="26"/>
      <c r="P18" s="26"/>
      <c r="Q18" s="26"/>
      <c r="R18" s="26"/>
      <c r="S18" s="26"/>
      <c r="T18" s="26"/>
      <c r="U18" s="26"/>
      <c r="V18" s="26"/>
      <c r="W18" s="26"/>
      <c r="X18" s="26"/>
      <c r="Y18" s="26"/>
      <c r="Z18" s="26"/>
    </row>
    <row r="19" ht="14.25" customHeight="1">
      <c r="A19" s="23">
        <v>3.0</v>
      </c>
      <c r="B19" s="39" t="s">
        <v>81</v>
      </c>
      <c r="C19" s="44" t="s">
        <v>87</v>
      </c>
      <c r="D19" s="45" t="s">
        <v>39</v>
      </c>
      <c r="E19" s="39" t="s">
        <v>27</v>
      </c>
      <c r="F19" s="23">
        <v>4.0</v>
      </c>
      <c r="G19" s="39" t="s">
        <v>84</v>
      </c>
      <c r="H19" s="39" t="s">
        <v>26</v>
      </c>
      <c r="I19" s="37"/>
      <c r="J19" s="38"/>
      <c r="K19" s="38"/>
      <c r="L19" s="38"/>
      <c r="M19" s="26"/>
      <c r="N19" s="26"/>
      <c r="O19" s="26"/>
      <c r="P19" s="26"/>
      <c r="Q19" s="26"/>
      <c r="R19" s="26"/>
      <c r="S19" s="26"/>
      <c r="T19" s="26"/>
      <c r="U19" s="26"/>
      <c r="V19" s="26"/>
      <c r="W19" s="26"/>
      <c r="X19" s="26"/>
      <c r="Y19" s="26"/>
      <c r="Z19" s="26"/>
    </row>
    <row r="20" ht="14.25" customHeight="1">
      <c r="A20" s="23">
        <v>4.0</v>
      </c>
      <c r="B20" s="39" t="s">
        <v>81</v>
      </c>
      <c r="C20" s="46" t="s">
        <v>88</v>
      </c>
      <c r="D20" s="47" t="s">
        <v>89</v>
      </c>
      <c r="E20" s="39" t="s">
        <v>22</v>
      </c>
      <c r="F20" s="23">
        <v>6.0</v>
      </c>
      <c r="G20" s="39" t="s">
        <v>84</v>
      </c>
      <c r="H20" s="23" t="s">
        <v>85</v>
      </c>
      <c r="I20" s="37"/>
      <c r="J20" s="38"/>
      <c r="K20" s="38"/>
      <c r="L20" s="38"/>
      <c r="M20" s="26"/>
      <c r="N20" s="26"/>
      <c r="O20" s="26"/>
      <c r="P20" s="26"/>
      <c r="Q20" s="26"/>
      <c r="R20" s="26"/>
      <c r="S20" s="26"/>
      <c r="T20" s="26"/>
      <c r="U20" s="26"/>
      <c r="V20" s="26"/>
      <c r="W20" s="26"/>
      <c r="X20" s="26"/>
      <c r="Y20" s="26"/>
      <c r="Z20" s="26"/>
    </row>
    <row r="21" ht="14.25" customHeight="1">
      <c r="A21" s="23">
        <v>4.0</v>
      </c>
      <c r="B21" s="39" t="s">
        <v>81</v>
      </c>
      <c r="C21" s="46" t="s">
        <v>88</v>
      </c>
      <c r="D21" s="47" t="s">
        <v>89</v>
      </c>
      <c r="E21" s="39" t="s">
        <v>24</v>
      </c>
      <c r="F21" s="23">
        <v>6.0</v>
      </c>
      <c r="G21" s="39" t="s">
        <v>84</v>
      </c>
      <c r="H21" s="39" t="s">
        <v>22</v>
      </c>
      <c r="I21" s="37"/>
      <c r="J21" s="38"/>
      <c r="K21" s="38"/>
      <c r="L21" s="38"/>
      <c r="M21" s="26"/>
      <c r="N21" s="26"/>
      <c r="O21" s="26"/>
      <c r="P21" s="26"/>
      <c r="Q21" s="26"/>
      <c r="R21" s="26"/>
      <c r="S21" s="26"/>
      <c r="T21" s="26"/>
      <c r="U21" s="26"/>
      <c r="V21" s="26"/>
      <c r="W21" s="26"/>
      <c r="X21" s="26"/>
      <c r="Y21" s="26"/>
      <c r="Z21" s="26"/>
    </row>
    <row r="22" ht="14.25" customHeight="1">
      <c r="A22" s="23">
        <v>4.0</v>
      </c>
      <c r="B22" s="39" t="s">
        <v>81</v>
      </c>
      <c r="C22" s="46" t="s">
        <v>88</v>
      </c>
      <c r="D22" s="47" t="s">
        <v>89</v>
      </c>
      <c r="E22" s="39" t="s">
        <v>25</v>
      </c>
      <c r="F22" s="23">
        <v>6.0</v>
      </c>
      <c r="G22" s="39" t="s">
        <v>84</v>
      </c>
      <c r="H22" s="39" t="s">
        <v>27</v>
      </c>
      <c r="I22" s="37"/>
      <c r="J22" s="38"/>
      <c r="K22" s="38"/>
      <c r="L22" s="38"/>
      <c r="M22" s="26"/>
      <c r="N22" s="26"/>
      <c r="O22" s="26"/>
      <c r="P22" s="26"/>
      <c r="Q22" s="26"/>
      <c r="R22" s="26"/>
      <c r="S22" s="26"/>
      <c r="T22" s="26"/>
      <c r="U22" s="26"/>
      <c r="V22" s="26"/>
      <c r="W22" s="26"/>
      <c r="X22" s="26"/>
      <c r="Y22" s="26"/>
      <c r="Z22" s="26"/>
    </row>
    <row r="23" ht="14.25" customHeight="1">
      <c r="A23" s="23">
        <v>4.0</v>
      </c>
      <c r="B23" s="39" t="s">
        <v>81</v>
      </c>
      <c r="C23" s="46" t="s">
        <v>88</v>
      </c>
      <c r="D23" s="47" t="s">
        <v>89</v>
      </c>
      <c r="E23" s="39" t="s">
        <v>26</v>
      </c>
      <c r="F23" s="23">
        <v>6.0</v>
      </c>
      <c r="G23" s="39" t="s">
        <v>84</v>
      </c>
      <c r="H23" s="39" t="s">
        <v>25</v>
      </c>
      <c r="I23" s="37"/>
      <c r="J23" s="38"/>
      <c r="K23" s="38"/>
      <c r="L23" s="38"/>
      <c r="M23" s="26"/>
      <c r="N23" s="26"/>
      <c r="O23" s="26"/>
      <c r="P23" s="26"/>
      <c r="Q23" s="26"/>
      <c r="R23" s="26"/>
      <c r="S23" s="26"/>
      <c r="T23" s="26"/>
      <c r="U23" s="26"/>
      <c r="V23" s="26"/>
      <c r="W23" s="26"/>
      <c r="X23" s="26"/>
      <c r="Y23" s="26"/>
      <c r="Z23" s="26"/>
    </row>
    <row r="24" ht="14.25" customHeight="1">
      <c r="A24" s="23">
        <v>4.0</v>
      </c>
      <c r="B24" s="39" t="s">
        <v>81</v>
      </c>
      <c r="C24" s="46" t="s">
        <v>88</v>
      </c>
      <c r="D24" s="47" t="s">
        <v>89</v>
      </c>
      <c r="E24" s="39" t="s">
        <v>83</v>
      </c>
      <c r="F24" s="23">
        <v>6.0</v>
      </c>
      <c r="G24" s="39" t="s">
        <v>84</v>
      </c>
      <c r="H24" s="39" t="s">
        <v>26</v>
      </c>
      <c r="I24" s="37"/>
      <c r="J24" s="38"/>
      <c r="K24" s="38"/>
      <c r="L24" s="38"/>
      <c r="M24" s="26"/>
      <c r="N24" s="26"/>
      <c r="O24" s="26"/>
      <c r="P24" s="26"/>
      <c r="Q24" s="26"/>
      <c r="R24" s="26"/>
      <c r="S24" s="26"/>
      <c r="T24" s="26"/>
      <c r="U24" s="26"/>
      <c r="V24" s="26"/>
      <c r="W24" s="26"/>
      <c r="X24" s="26"/>
      <c r="Y24" s="26"/>
      <c r="Z24" s="26"/>
    </row>
    <row r="25" ht="14.25" customHeight="1">
      <c r="A25" s="23">
        <v>4.0</v>
      </c>
      <c r="B25" s="39" t="s">
        <v>81</v>
      </c>
      <c r="C25" s="46" t="s">
        <v>88</v>
      </c>
      <c r="D25" s="47" t="s">
        <v>89</v>
      </c>
      <c r="E25" s="39" t="s">
        <v>27</v>
      </c>
      <c r="F25" s="23">
        <v>6.0</v>
      </c>
      <c r="G25" s="39" t="s">
        <v>84</v>
      </c>
      <c r="H25" s="39" t="s">
        <v>24</v>
      </c>
      <c r="I25" s="37"/>
      <c r="J25" s="38"/>
      <c r="K25" s="38"/>
      <c r="L25" s="38"/>
      <c r="M25" s="26"/>
      <c r="N25" s="26"/>
      <c r="O25" s="26"/>
      <c r="P25" s="26"/>
      <c r="Q25" s="26"/>
      <c r="R25" s="26"/>
      <c r="S25" s="26"/>
      <c r="T25" s="26"/>
      <c r="U25" s="26"/>
      <c r="V25" s="26"/>
      <c r="W25" s="26"/>
      <c r="X25" s="26"/>
      <c r="Y25" s="26"/>
      <c r="Z25" s="26"/>
    </row>
    <row r="26" ht="14.25" customHeight="1">
      <c r="A26" s="23">
        <v>5.0</v>
      </c>
      <c r="B26" s="39" t="s">
        <v>81</v>
      </c>
      <c r="C26" s="46" t="s">
        <v>90</v>
      </c>
      <c r="D26" s="47" t="s">
        <v>91</v>
      </c>
      <c r="E26" s="39" t="s">
        <v>22</v>
      </c>
      <c r="F26" s="23">
        <v>5.0</v>
      </c>
      <c r="G26" s="39" t="s">
        <v>84</v>
      </c>
      <c r="H26" s="39" t="s">
        <v>26</v>
      </c>
      <c r="I26" s="37"/>
      <c r="J26" s="38"/>
      <c r="K26" s="38"/>
      <c r="L26" s="38"/>
      <c r="M26" s="26"/>
      <c r="N26" s="26"/>
      <c r="O26" s="26"/>
      <c r="P26" s="26"/>
      <c r="Q26" s="26"/>
      <c r="R26" s="26"/>
      <c r="S26" s="26"/>
      <c r="T26" s="26"/>
      <c r="U26" s="26"/>
      <c r="V26" s="26"/>
      <c r="W26" s="26"/>
      <c r="X26" s="26"/>
      <c r="Y26" s="26"/>
      <c r="Z26" s="26"/>
    </row>
    <row r="27" ht="14.25" customHeight="1">
      <c r="A27" s="23">
        <v>5.0</v>
      </c>
      <c r="B27" s="39" t="s">
        <v>81</v>
      </c>
      <c r="C27" s="46" t="s">
        <v>90</v>
      </c>
      <c r="D27" s="47" t="s">
        <v>91</v>
      </c>
      <c r="E27" s="39" t="s">
        <v>24</v>
      </c>
      <c r="F27" s="23">
        <v>5.0</v>
      </c>
      <c r="G27" s="39" t="s">
        <v>84</v>
      </c>
      <c r="H27" s="39" t="s">
        <v>83</v>
      </c>
      <c r="I27" s="37"/>
      <c r="J27" s="38"/>
      <c r="K27" s="38"/>
      <c r="L27" s="38"/>
      <c r="M27" s="26"/>
      <c r="N27" s="26"/>
      <c r="O27" s="26"/>
      <c r="P27" s="26"/>
      <c r="Q27" s="26"/>
      <c r="R27" s="26"/>
      <c r="S27" s="26"/>
      <c r="T27" s="26"/>
      <c r="U27" s="26"/>
      <c r="V27" s="26"/>
      <c r="W27" s="26"/>
      <c r="X27" s="26"/>
      <c r="Y27" s="26"/>
      <c r="Z27" s="26"/>
    </row>
    <row r="28" ht="14.25" customHeight="1">
      <c r="A28" s="23">
        <v>5.0</v>
      </c>
      <c r="B28" s="39" t="s">
        <v>81</v>
      </c>
      <c r="C28" s="46" t="s">
        <v>90</v>
      </c>
      <c r="D28" s="47" t="s">
        <v>91</v>
      </c>
      <c r="E28" s="39" t="s">
        <v>25</v>
      </c>
      <c r="F28" s="23">
        <v>5.0</v>
      </c>
      <c r="G28" s="39" t="s">
        <v>84</v>
      </c>
      <c r="H28" s="39" t="s">
        <v>22</v>
      </c>
      <c r="I28" s="37"/>
      <c r="J28" s="38"/>
      <c r="K28" s="38"/>
      <c r="L28" s="38"/>
      <c r="M28" s="26"/>
      <c r="N28" s="26"/>
      <c r="O28" s="26"/>
      <c r="P28" s="26"/>
      <c r="Q28" s="26"/>
      <c r="R28" s="26"/>
      <c r="S28" s="26"/>
      <c r="T28" s="26"/>
      <c r="U28" s="26"/>
      <c r="V28" s="26"/>
      <c r="W28" s="26"/>
      <c r="X28" s="26"/>
      <c r="Y28" s="26"/>
      <c r="Z28" s="26"/>
    </row>
    <row r="29" ht="14.25" customHeight="1">
      <c r="A29" s="23">
        <v>5.0</v>
      </c>
      <c r="B29" s="39" t="s">
        <v>81</v>
      </c>
      <c r="C29" s="46" t="s">
        <v>90</v>
      </c>
      <c r="D29" s="47" t="s">
        <v>91</v>
      </c>
      <c r="E29" s="39" t="s">
        <v>26</v>
      </c>
      <c r="F29" s="23">
        <v>5.0</v>
      </c>
      <c r="G29" s="39" t="s">
        <v>84</v>
      </c>
      <c r="H29" s="23" t="s">
        <v>85</v>
      </c>
      <c r="I29" s="37"/>
      <c r="J29" s="38"/>
      <c r="K29" s="38"/>
      <c r="L29" s="38"/>
      <c r="M29" s="26"/>
      <c r="N29" s="26"/>
      <c r="O29" s="26"/>
      <c r="P29" s="26"/>
      <c r="Q29" s="26"/>
      <c r="R29" s="26"/>
      <c r="S29" s="26"/>
      <c r="T29" s="26"/>
      <c r="U29" s="26"/>
      <c r="V29" s="26"/>
      <c r="W29" s="26"/>
      <c r="X29" s="26"/>
      <c r="Y29" s="26"/>
      <c r="Z29" s="26"/>
    </row>
    <row r="30" ht="14.25" customHeight="1">
      <c r="A30" s="23">
        <v>5.0</v>
      </c>
      <c r="B30" s="39" t="s">
        <v>81</v>
      </c>
      <c r="C30" s="46" t="s">
        <v>90</v>
      </c>
      <c r="D30" s="47" t="s">
        <v>91</v>
      </c>
      <c r="E30" s="39" t="s">
        <v>83</v>
      </c>
      <c r="F30" s="23">
        <v>5.0</v>
      </c>
      <c r="G30" s="39" t="s">
        <v>84</v>
      </c>
      <c r="H30" s="39" t="s">
        <v>27</v>
      </c>
      <c r="I30" s="37"/>
      <c r="J30" s="38"/>
      <c r="K30" s="38"/>
      <c r="L30" s="38"/>
      <c r="M30" s="26"/>
      <c r="N30" s="26"/>
      <c r="O30" s="26"/>
      <c r="P30" s="26"/>
      <c r="Q30" s="26"/>
      <c r="R30" s="26"/>
      <c r="S30" s="26"/>
      <c r="T30" s="26"/>
      <c r="U30" s="26"/>
      <c r="V30" s="26"/>
      <c r="W30" s="26"/>
      <c r="X30" s="26"/>
      <c r="Y30" s="26"/>
      <c r="Z30" s="26"/>
    </row>
    <row r="31" ht="14.25" customHeight="1">
      <c r="A31" s="23">
        <v>5.0</v>
      </c>
      <c r="B31" s="39" t="s">
        <v>81</v>
      </c>
      <c r="C31" s="46" t="s">
        <v>90</v>
      </c>
      <c r="D31" s="48" t="s">
        <v>91</v>
      </c>
      <c r="E31" s="39" t="s">
        <v>27</v>
      </c>
      <c r="F31" s="23">
        <v>5.0</v>
      </c>
      <c r="G31" s="39" t="s">
        <v>84</v>
      </c>
      <c r="H31" s="39" t="s">
        <v>25</v>
      </c>
      <c r="I31" s="37"/>
      <c r="J31" s="38"/>
      <c r="K31" s="38"/>
      <c r="L31" s="38"/>
      <c r="M31" s="26"/>
      <c r="N31" s="26"/>
      <c r="O31" s="26"/>
      <c r="P31" s="26"/>
      <c r="Q31" s="26"/>
      <c r="R31" s="26"/>
      <c r="S31" s="26"/>
      <c r="T31" s="26"/>
      <c r="U31" s="26"/>
      <c r="V31" s="26"/>
      <c r="W31" s="26"/>
      <c r="X31" s="26"/>
      <c r="Y31" s="26"/>
      <c r="Z31" s="26"/>
    </row>
    <row r="32" ht="14.25" customHeight="1">
      <c r="A32" s="23">
        <v>6.0</v>
      </c>
      <c r="B32" s="39" t="s">
        <v>81</v>
      </c>
      <c r="C32" s="23" t="s">
        <v>92</v>
      </c>
      <c r="D32" s="27" t="s">
        <v>93</v>
      </c>
      <c r="E32" s="39" t="s">
        <v>22</v>
      </c>
      <c r="F32" s="23">
        <v>6.0</v>
      </c>
      <c r="G32" s="39" t="s">
        <v>84</v>
      </c>
      <c r="H32" s="39" t="s">
        <v>83</v>
      </c>
      <c r="I32" s="37"/>
      <c r="J32" s="38"/>
      <c r="K32" s="38"/>
      <c r="L32" s="38"/>
      <c r="M32" s="26"/>
      <c r="N32" s="26"/>
      <c r="O32" s="26"/>
      <c r="P32" s="26"/>
      <c r="Q32" s="26"/>
      <c r="R32" s="26"/>
      <c r="S32" s="26"/>
      <c r="T32" s="26"/>
      <c r="U32" s="26"/>
      <c r="V32" s="26"/>
      <c r="W32" s="26"/>
      <c r="X32" s="26"/>
      <c r="Y32" s="26"/>
      <c r="Z32" s="26"/>
    </row>
    <row r="33" ht="14.25" customHeight="1">
      <c r="A33" s="23">
        <v>6.0</v>
      </c>
      <c r="B33" s="39" t="s">
        <v>81</v>
      </c>
      <c r="C33" s="23" t="s">
        <v>92</v>
      </c>
      <c r="D33" s="23" t="s">
        <v>93</v>
      </c>
      <c r="E33" s="39" t="s">
        <v>24</v>
      </c>
      <c r="F33" s="23">
        <v>6.0</v>
      </c>
      <c r="G33" s="39" t="s">
        <v>84</v>
      </c>
      <c r="H33" s="39" t="s">
        <v>22</v>
      </c>
      <c r="I33" s="37"/>
      <c r="J33" s="38"/>
      <c r="K33" s="38"/>
      <c r="L33" s="38"/>
      <c r="M33" s="26"/>
      <c r="N33" s="26"/>
      <c r="O33" s="26"/>
      <c r="P33" s="26"/>
      <c r="Q33" s="26"/>
      <c r="R33" s="26"/>
      <c r="S33" s="26"/>
      <c r="T33" s="26"/>
      <c r="U33" s="26"/>
      <c r="V33" s="26"/>
      <c r="W33" s="26"/>
      <c r="X33" s="26"/>
      <c r="Y33" s="26"/>
      <c r="Z33" s="26"/>
    </row>
    <row r="34" ht="14.25" customHeight="1">
      <c r="A34" s="23">
        <v>6.0</v>
      </c>
      <c r="B34" s="39" t="s">
        <v>81</v>
      </c>
      <c r="C34" s="23" t="s">
        <v>92</v>
      </c>
      <c r="D34" s="23" t="s">
        <v>93</v>
      </c>
      <c r="E34" s="39" t="s">
        <v>25</v>
      </c>
      <c r="F34" s="23">
        <v>6.0</v>
      </c>
      <c r="G34" s="39" t="s">
        <v>84</v>
      </c>
      <c r="H34" s="23" t="s">
        <v>85</v>
      </c>
      <c r="I34" s="37"/>
      <c r="J34" s="38"/>
      <c r="K34" s="38"/>
      <c r="L34" s="38"/>
      <c r="M34" s="26"/>
      <c r="N34" s="26"/>
      <c r="O34" s="26"/>
      <c r="P34" s="26"/>
      <c r="Q34" s="26"/>
      <c r="R34" s="26"/>
      <c r="S34" s="26"/>
      <c r="T34" s="26"/>
      <c r="U34" s="26"/>
      <c r="V34" s="26"/>
      <c r="W34" s="26"/>
      <c r="X34" s="26"/>
      <c r="Y34" s="26"/>
      <c r="Z34" s="26"/>
    </row>
    <row r="35" ht="14.25" customHeight="1">
      <c r="A35" s="23">
        <v>6.0</v>
      </c>
      <c r="B35" s="39" t="s">
        <v>81</v>
      </c>
      <c r="C35" s="23" t="s">
        <v>92</v>
      </c>
      <c r="D35" s="23" t="s">
        <v>93</v>
      </c>
      <c r="E35" s="39" t="s">
        <v>26</v>
      </c>
      <c r="F35" s="23">
        <v>6.0</v>
      </c>
      <c r="G35" s="39" t="s">
        <v>84</v>
      </c>
      <c r="H35" s="39" t="s">
        <v>25</v>
      </c>
      <c r="I35" s="37"/>
      <c r="J35" s="38"/>
      <c r="K35" s="38"/>
      <c r="L35" s="38"/>
      <c r="M35" s="26"/>
      <c r="N35" s="26"/>
      <c r="O35" s="26"/>
      <c r="P35" s="26"/>
      <c r="Q35" s="26"/>
      <c r="R35" s="26"/>
      <c r="S35" s="26"/>
      <c r="T35" s="26"/>
      <c r="U35" s="26"/>
      <c r="V35" s="26"/>
      <c r="W35" s="26"/>
      <c r="X35" s="26"/>
      <c r="Y35" s="26"/>
      <c r="Z35" s="26"/>
    </row>
    <row r="36" ht="14.25" customHeight="1">
      <c r="A36" s="23">
        <v>6.0</v>
      </c>
      <c r="B36" s="39" t="s">
        <v>81</v>
      </c>
      <c r="C36" s="23" t="s">
        <v>92</v>
      </c>
      <c r="D36" s="23" t="s">
        <v>93</v>
      </c>
      <c r="E36" s="39" t="s">
        <v>83</v>
      </c>
      <c r="F36" s="23">
        <v>6.0</v>
      </c>
      <c r="G36" s="39" t="s">
        <v>84</v>
      </c>
      <c r="H36" s="39" t="s">
        <v>27</v>
      </c>
      <c r="I36" s="37"/>
      <c r="J36" s="38"/>
      <c r="K36" s="38"/>
      <c r="L36" s="38"/>
      <c r="M36" s="26"/>
      <c r="N36" s="26"/>
      <c r="O36" s="26"/>
      <c r="P36" s="26"/>
      <c r="Q36" s="26"/>
      <c r="R36" s="26"/>
      <c r="S36" s="26"/>
      <c r="T36" s="26"/>
      <c r="U36" s="26"/>
      <c r="V36" s="26"/>
      <c r="W36" s="26"/>
      <c r="X36" s="26"/>
      <c r="Y36" s="26"/>
      <c r="Z36" s="26"/>
    </row>
    <row r="37" ht="13.5" customHeight="1">
      <c r="A37" s="23">
        <v>6.0</v>
      </c>
      <c r="B37" s="39" t="s">
        <v>81</v>
      </c>
      <c r="C37" s="23" t="s">
        <v>92</v>
      </c>
      <c r="D37" s="23" t="s">
        <v>93</v>
      </c>
      <c r="E37" s="39" t="s">
        <v>27</v>
      </c>
      <c r="F37" s="23">
        <v>6.0</v>
      </c>
      <c r="G37" s="39" t="s">
        <v>84</v>
      </c>
      <c r="H37" s="39" t="s">
        <v>26</v>
      </c>
      <c r="I37" s="37"/>
      <c r="J37" s="38"/>
      <c r="K37" s="38"/>
      <c r="L37" s="38"/>
      <c r="M37" s="26"/>
      <c r="N37" s="26"/>
      <c r="O37" s="26"/>
      <c r="P37" s="26"/>
      <c r="Q37" s="26"/>
      <c r="R37" s="26"/>
      <c r="S37" s="26"/>
      <c r="T37" s="26"/>
      <c r="U37" s="26"/>
      <c r="V37" s="26"/>
      <c r="W37" s="26"/>
      <c r="X37" s="26"/>
      <c r="Y37" s="26"/>
      <c r="Z37" s="26"/>
    </row>
    <row r="38" ht="14.25" customHeight="1">
      <c r="A38" s="23">
        <v>7.0</v>
      </c>
      <c r="B38" s="39" t="s">
        <v>81</v>
      </c>
      <c r="C38" s="23" t="s">
        <v>94</v>
      </c>
      <c r="D38" s="23" t="s">
        <v>95</v>
      </c>
      <c r="E38" s="39" t="s">
        <v>22</v>
      </c>
      <c r="F38" s="23">
        <v>8.0</v>
      </c>
      <c r="G38" s="39" t="s">
        <v>84</v>
      </c>
      <c r="H38" s="39" t="s">
        <v>26</v>
      </c>
      <c r="I38" s="37"/>
      <c r="J38" s="38"/>
      <c r="K38" s="38"/>
      <c r="L38" s="38"/>
      <c r="M38" s="26"/>
      <c r="N38" s="26"/>
      <c r="O38" s="26"/>
      <c r="P38" s="26"/>
      <c r="Q38" s="26"/>
      <c r="R38" s="26"/>
      <c r="S38" s="26"/>
      <c r="T38" s="26"/>
      <c r="U38" s="26"/>
      <c r="V38" s="26"/>
      <c r="W38" s="26"/>
      <c r="X38" s="26"/>
      <c r="Y38" s="26"/>
      <c r="Z38" s="26"/>
    </row>
    <row r="39" ht="14.25" customHeight="1">
      <c r="A39" s="23">
        <v>7.0</v>
      </c>
      <c r="B39" s="39" t="s">
        <v>81</v>
      </c>
      <c r="C39" s="23" t="s">
        <v>94</v>
      </c>
      <c r="D39" s="23" t="s">
        <v>95</v>
      </c>
      <c r="E39" s="39" t="s">
        <v>24</v>
      </c>
      <c r="F39" s="23">
        <v>8.0</v>
      </c>
      <c r="G39" s="39" t="s">
        <v>84</v>
      </c>
      <c r="H39" s="39" t="s">
        <v>83</v>
      </c>
      <c r="I39" s="37"/>
      <c r="J39" s="38"/>
      <c r="K39" s="38"/>
      <c r="L39" s="38"/>
      <c r="M39" s="26"/>
      <c r="N39" s="26"/>
      <c r="O39" s="26"/>
      <c r="P39" s="26"/>
      <c r="Q39" s="26"/>
      <c r="R39" s="26"/>
      <c r="S39" s="26"/>
      <c r="T39" s="26"/>
      <c r="U39" s="26"/>
      <c r="V39" s="26"/>
      <c r="W39" s="26"/>
      <c r="X39" s="26"/>
      <c r="Y39" s="26"/>
      <c r="Z39" s="26"/>
    </row>
    <row r="40" ht="14.25" customHeight="1">
      <c r="A40" s="23">
        <v>7.0</v>
      </c>
      <c r="B40" s="39" t="s">
        <v>81</v>
      </c>
      <c r="C40" s="23" t="s">
        <v>94</v>
      </c>
      <c r="D40" s="23" t="s">
        <v>95</v>
      </c>
      <c r="E40" s="39" t="s">
        <v>25</v>
      </c>
      <c r="F40" s="23">
        <v>8.0</v>
      </c>
      <c r="G40" s="39" t="s">
        <v>84</v>
      </c>
      <c r="H40" s="39" t="s">
        <v>22</v>
      </c>
      <c r="I40" s="37"/>
      <c r="J40" s="38"/>
      <c r="K40" s="38"/>
      <c r="L40" s="38"/>
      <c r="M40" s="26"/>
      <c r="N40" s="26"/>
      <c r="O40" s="26"/>
      <c r="P40" s="26"/>
      <c r="Q40" s="26"/>
      <c r="R40" s="26"/>
      <c r="S40" s="26"/>
      <c r="T40" s="26"/>
      <c r="U40" s="26"/>
      <c r="V40" s="26"/>
      <c r="W40" s="26"/>
      <c r="X40" s="26"/>
      <c r="Y40" s="26"/>
      <c r="Z40" s="26"/>
    </row>
    <row r="41" ht="14.25" customHeight="1">
      <c r="A41" s="23">
        <v>7.0</v>
      </c>
      <c r="B41" s="39" t="s">
        <v>81</v>
      </c>
      <c r="C41" s="23" t="s">
        <v>94</v>
      </c>
      <c r="D41" s="23" t="s">
        <v>95</v>
      </c>
      <c r="E41" s="39" t="s">
        <v>26</v>
      </c>
      <c r="F41" s="23">
        <v>8.0</v>
      </c>
      <c r="G41" s="39" t="s">
        <v>84</v>
      </c>
      <c r="H41" s="23" t="s">
        <v>85</v>
      </c>
      <c r="I41" s="37"/>
      <c r="J41" s="38"/>
      <c r="K41" s="38"/>
      <c r="L41" s="38"/>
      <c r="M41" s="26"/>
      <c r="N41" s="26"/>
      <c r="O41" s="26"/>
      <c r="P41" s="26"/>
      <c r="Q41" s="26"/>
      <c r="R41" s="26"/>
      <c r="S41" s="26"/>
      <c r="T41" s="26"/>
      <c r="U41" s="26"/>
      <c r="V41" s="26"/>
      <c r="W41" s="26"/>
      <c r="X41" s="26"/>
      <c r="Y41" s="26"/>
      <c r="Z41" s="26"/>
    </row>
    <row r="42" ht="14.25" customHeight="1">
      <c r="A42" s="23">
        <v>7.0</v>
      </c>
      <c r="B42" s="39" t="s">
        <v>81</v>
      </c>
      <c r="C42" s="23" t="s">
        <v>94</v>
      </c>
      <c r="D42" s="23" t="s">
        <v>95</v>
      </c>
      <c r="E42" s="39" t="s">
        <v>83</v>
      </c>
      <c r="F42" s="23">
        <v>8.0</v>
      </c>
      <c r="G42" s="39" t="s">
        <v>84</v>
      </c>
      <c r="H42" s="39" t="s">
        <v>27</v>
      </c>
      <c r="I42" s="37"/>
      <c r="J42" s="38"/>
      <c r="K42" s="38"/>
      <c r="L42" s="38"/>
      <c r="M42" s="26"/>
      <c r="N42" s="26"/>
      <c r="O42" s="26"/>
      <c r="P42" s="26"/>
      <c r="Q42" s="26"/>
      <c r="R42" s="26"/>
      <c r="S42" s="26"/>
      <c r="T42" s="26"/>
      <c r="U42" s="26"/>
      <c r="V42" s="26"/>
      <c r="W42" s="26"/>
      <c r="X42" s="26"/>
      <c r="Y42" s="26"/>
      <c r="Z42" s="26"/>
    </row>
    <row r="43" ht="13.5" customHeight="1">
      <c r="A43" s="23">
        <v>7.0</v>
      </c>
      <c r="B43" s="39" t="s">
        <v>81</v>
      </c>
      <c r="C43" s="23" t="s">
        <v>94</v>
      </c>
      <c r="D43" s="23" t="s">
        <v>95</v>
      </c>
      <c r="E43" s="39" t="s">
        <v>27</v>
      </c>
      <c r="F43" s="23">
        <v>8.0</v>
      </c>
      <c r="G43" s="39" t="s">
        <v>84</v>
      </c>
      <c r="H43" s="39" t="s">
        <v>25</v>
      </c>
      <c r="I43" s="37"/>
      <c r="J43" s="38"/>
      <c r="K43" s="38"/>
      <c r="L43" s="38"/>
      <c r="M43" s="26"/>
      <c r="N43" s="26"/>
      <c r="O43" s="26"/>
      <c r="P43" s="26"/>
      <c r="Q43" s="26"/>
      <c r="R43" s="26"/>
      <c r="S43" s="26"/>
      <c r="T43" s="26"/>
      <c r="U43" s="26"/>
      <c r="V43" s="26"/>
      <c r="W43" s="26"/>
      <c r="X43" s="26"/>
      <c r="Y43" s="26"/>
      <c r="Z43" s="26"/>
    </row>
    <row r="44" ht="14.25" customHeight="1">
      <c r="A44" s="23">
        <v>8.0</v>
      </c>
      <c r="B44" s="39" t="s">
        <v>81</v>
      </c>
      <c r="C44" s="23" t="s">
        <v>96</v>
      </c>
      <c r="D44" s="23" t="s">
        <v>97</v>
      </c>
      <c r="E44" s="39" t="s">
        <v>22</v>
      </c>
      <c r="F44" s="49">
        <v>7.0</v>
      </c>
      <c r="G44" s="39" t="s">
        <v>84</v>
      </c>
      <c r="H44" s="39" t="s">
        <v>27</v>
      </c>
      <c r="I44" s="38"/>
      <c r="J44" s="38"/>
      <c r="K44" s="38"/>
      <c r="L44" s="38"/>
      <c r="M44" s="26"/>
      <c r="N44" s="26"/>
      <c r="O44" s="26"/>
      <c r="P44" s="26"/>
      <c r="Q44" s="26"/>
      <c r="R44" s="26"/>
      <c r="S44" s="26"/>
      <c r="T44" s="26"/>
      <c r="U44" s="26"/>
      <c r="V44" s="26"/>
      <c r="W44" s="26"/>
      <c r="X44" s="26"/>
      <c r="Y44" s="26"/>
      <c r="Z44" s="26"/>
    </row>
    <row r="45" ht="14.25" customHeight="1">
      <c r="A45" s="23">
        <v>8.0</v>
      </c>
      <c r="B45" s="39" t="s">
        <v>81</v>
      </c>
      <c r="C45" s="23" t="s">
        <v>96</v>
      </c>
      <c r="D45" s="23" t="s">
        <v>97</v>
      </c>
      <c r="E45" s="39" t="s">
        <v>24</v>
      </c>
      <c r="F45" s="49">
        <v>7.0</v>
      </c>
      <c r="G45" s="39" t="s">
        <v>84</v>
      </c>
      <c r="H45" s="23" t="s">
        <v>85</v>
      </c>
      <c r="I45" s="38"/>
      <c r="J45" s="38"/>
      <c r="K45" s="38"/>
      <c r="L45" s="38"/>
      <c r="M45" s="26"/>
      <c r="N45" s="26"/>
      <c r="O45" s="26"/>
      <c r="P45" s="26"/>
      <c r="Q45" s="26"/>
      <c r="R45" s="26"/>
      <c r="S45" s="26"/>
      <c r="T45" s="26"/>
      <c r="U45" s="26"/>
      <c r="V45" s="26"/>
      <c r="W45" s="26"/>
      <c r="X45" s="26"/>
      <c r="Y45" s="26"/>
      <c r="Z45" s="26"/>
    </row>
    <row r="46" ht="14.25" customHeight="1">
      <c r="A46" s="23">
        <v>8.0</v>
      </c>
      <c r="B46" s="39" t="s">
        <v>81</v>
      </c>
      <c r="C46" s="23" t="s">
        <v>96</v>
      </c>
      <c r="D46" s="23" t="s">
        <v>97</v>
      </c>
      <c r="E46" s="39" t="s">
        <v>25</v>
      </c>
      <c r="F46" s="49">
        <v>7.0</v>
      </c>
      <c r="G46" s="39" t="s">
        <v>84</v>
      </c>
      <c r="H46" s="39" t="s">
        <v>22</v>
      </c>
      <c r="I46" s="38"/>
      <c r="J46" s="38"/>
      <c r="K46" s="38"/>
      <c r="L46" s="38"/>
      <c r="M46" s="26"/>
      <c r="N46" s="26"/>
      <c r="O46" s="26"/>
      <c r="P46" s="26"/>
      <c r="Q46" s="26"/>
      <c r="R46" s="26"/>
      <c r="S46" s="26"/>
      <c r="T46" s="26"/>
      <c r="U46" s="26"/>
      <c r="V46" s="26"/>
      <c r="W46" s="26"/>
      <c r="X46" s="26"/>
      <c r="Y46" s="26"/>
      <c r="Z46" s="26"/>
    </row>
    <row r="47" ht="14.25" customHeight="1">
      <c r="A47" s="23">
        <v>8.0</v>
      </c>
      <c r="B47" s="39" t="s">
        <v>81</v>
      </c>
      <c r="C47" s="23" t="s">
        <v>96</v>
      </c>
      <c r="D47" s="23" t="s">
        <v>97</v>
      </c>
      <c r="E47" s="39" t="s">
        <v>26</v>
      </c>
      <c r="F47" s="49">
        <v>7.0</v>
      </c>
      <c r="G47" s="39" t="s">
        <v>84</v>
      </c>
      <c r="H47" s="39" t="s">
        <v>24</v>
      </c>
      <c r="I47" s="38"/>
      <c r="J47" s="38"/>
      <c r="K47" s="38"/>
      <c r="L47" s="38"/>
      <c r="M47" s="26"/>
      <c r="N47" s="26"/>
      <c r="O47" s="26"/>
      <c r="P47" s="26"/>
      <c r="Q47" s="26"/>
      <c r="R47" s="26"/>
      <c r="S47" s="26"/>
      <c r="T47" s="26"/>
      <c r="U47" s="26"/>
      <c r="V47" s="26"/>
      <c r="W47" s="26"/>
      <c r="X47" s="26"/>
      <c r="Y47" s="26"/>
      <c r="Z47" s="26"/>
    </row>
    <row r="48" ht="14.25" customHeight="1">
      <c r="A48" s="23">
        <v>8.0</v>
      </c>
      <c r="B48" s="39" t="s">
        <v>81</v>
      </c>
      <c r="C48" s="23" t="s">
        <v>96</v>
      </c>
      <c r="D48" s="23" t="s">
        <v>97</v>
      </c>
      <c r="E48" s="39" t="s">
        <v>83</v>
      </c>
      <c r="F48" s="49">
        <v>7.0</v>
      </c>
      <c r="G48" s="39" t="s">
        <v>84</v>
      </c>
      <c r="H48" s="39" t="s">
        <v>25</v>
      </c>
      <c r="I48" s="38"/>
      <c r="J48" s="38"/>
      <c r="K48" s="38"/>
      <c r="L48" s="38"/>
      <c r="M48" s="26"/>
      <c r="N48" s="26"/>
      <c r="O48" s="26"/>
      <c r="P48" s="26"/>
      <c r="Q48" s="26"/>
      <c r="R48" s="26"/>
      <c r="S48" s="26"/>
      <c r="T48" s="26"/>
      <c r="U48" s="26"/>
      <c r="V48" s="26"/>
      <c r="W48" s="26"/>
      <c r="X48" s="26"/>
      <c r="Y48" s="26"/>
      <c r="Z48" s="26"/>
    </row>
    <row r="49" ht="14.25" customHeight="1">
      <c r="A49" s="23">
        <v>8.0</v>
      </c>
      <c r="B49" s="39" t="s">
        <v>81</v>
      </c>
      <c r="C49" s="23" t="s">
        <v>96</v>
      </c>
      <c r="D49" s="27" t="s">
        <v>97</v>
      </c>
      <c r="E49" s="39" t="s">
        <v>27</v>
      </c>
      <c r="F49" s="23">
        <v>7.0</v>
      </c>
      <c r="G49" s="39" t="s">
        <v>84</v>
      </c>
      <c r="H49" s="39" t="s">
        <v>26</v>
      </c>
      <c r="I49" s="38"/>
      <c r="J49" s="38"/>
      <c r="K49" s="38"/>
      <c r="L49" s="38"/>
      <c r="M49" s="26"/>
      <c r="N49" s="26"/>
      <c r="O49" s="26"/>
      <c r="P49" s="26"/>
      <c r="Q49" s="26"/>
      <c r="R49" s="26"/>
      <c r="S49" s="26"/>
      <c r="T49" s="26"/>
      <c r="U49" s="26"/>
      <c r="V49" s="26"/>
      <c r="W49" s="26"/>
      <c r="X49" s="26"/>
      <c r="Y49" s="26"/>
      <c r="Z49" s="26"/>
    </row>
    <row r="50" ht="14.25" customHeight="1">
      <c r="A50" s="49">
        <v>9.0</v>
      </c>
      <c r="B50" s="39" t="s">
        <v>81</v>
      </c>
      <c r="C50" s="23" t="s">
        <v>98</v>
      </c>
      <c r="D50" s="50" t="s">
        <v>99</v>
      </c>
      <c r="E50" s="51" t="s">
        <v>83</v>
      </c>
      <c r="F50" s="52">
        <v>5.0</v>
      </c>
      <c r="G50" s="23" t="s">
        <v>84</v>
      </c>
      <c r="H50" s="37" t="s">
        <v>85</v>
      </c>
      <c r="I50" s="38"/>
      <c r="J50" s="38"/>
      <c r="K50" s="38"/>
      <c r="L50" s="38"/>
      <c r="M50" s="26"/>
      <c r="N50" s="26"/>
      <c r="O50" s="26"/>
      <c r="P50" s="26"/>
      <c r="Q50" s="26"/>
      <c r="R50" s="26"/>
      <c r="S50" s="26"/>
      <c r="T50" s="26"/>
      <c r="U50" s="26"/>
      <c r="V50" s="26"/>
      <c r="W50" s="26"/>
      <c r="X50" s="26"/>
      <c r="Y50" s="26"/>
      <c r="Z50" s="26"/>
    </row>
    <row r="51" ht="14.25" customHeight="1">
      <c r="A51" s="49">
        <v>9.0</v>
      </c>
      <c r="B51" s="39" t="s">
        <v>81</v>
      </c>
      <c r="C51" s="23" t="s">
        <v>98</v>
      </c>
      <c r="D51" s="50" t="s">
        <v>99</v>
      </c>
      <c r="E51" s="51" t="s">
        <v>22</v>
      </c>
      <c r="F51" s="52">
        <v>5.0</v>
      </c>
      <c r="G51" s="23" t="s">
        <v>84</v>
      </c>
      <c r="H51" s="37" t="s">
        <v>25</v>
      </c>
      <c r="I51" s="38"/>
      <c r="J51" s="38"/>
      <c r="K51" s="38"/>
      <c r="L51" s="38"/>
      <c r="M51" s="26"/>
      <c r="N51" s="26"/>
      <c r="O51" s="26"/>
      <c r="P51" s="26"/>
      <c r="Q51" s="26"/>
      <c r="R51" s="26"/>
      <c r="S51" s="26"/>
      <c r="T51" s="26"/>
      <c r="U51" s="26"/>
      <c r="V51" s="26"/>
      <c r="W51" s="26"/>
      <c r="X51" s="26"/>
      <c r="Y51" s="26"/>
      <c r="Z51" s="26"/>
    </row>
    <row r="52" ht="14.25" customHeight="1">
      <c r="A52" s="49">
        <v>9.0</v>
      </c>
      <c r="B52" s="39" t="s">
        <v>81</v>
      </c>
      <c r="C52" s="23" t="s">
        <v>98</v>
      </c>
      <c r="D52" s="50" t="s">
        <v>99</v>
      </c>
      <c r="E52" s="51" t="s">
        <v>24</v>
      </c>
      <c r="F52" s="52">
        <v>5.0</v>
      </c>
      <c r="G52" s="23" t="s">
        <v>84</v>
      </c>
      <c r="H52" s="37" t="s">
        <v>22</v>
      </c>
      <c r="I52" s="38"/>
      <c r="J52" s="38"/>
      <c r="K52" s="38"/>
      <c r="L52" s="38"/>
      <c r="M52" s="26"/>
      <c r="N52" s="26"/>
      <c r="O52" s="26"/>
      <c r="P52" s="26"/>
      <c r="Q52" s="26"/>
      <c r="R52" s="26"/>
      <c r="S52" s="26"/>
      <c r="T52" s="26"/>
      <c r="U52" s="26"/>
      <c r="V52" s="26"/>
      <c r="W52" s="26"/>
      <c r="X52" s="26"/>
      <c r="Y52" s="26"/>
      <c r="Z52" s="26"/>
    </row>
    <row r="53" ht="14.25" customHeight="1">
      <c r="A53" s="49">
        <v>9.0</v>
      </c>
      <c r="B53" s="39" t="s">
        <v>81</v>
      </c>
      <c r="C53" s="23" t="s">
        <v>98</v>
      </c>
      <c r="D53" s="50" t="s">
        <v>99</v>
      </c>
      <c r="E53" s="51" t="s">
        <v>25</v>
      </c>
      <c r="F53" s="52">
        <v>5.0</v>
      </c>
      <c r="G53" s="23" t="s">
        <v>84</v>
      </c>
      <c r="H53" s="37" t="s">
        <v>26</v>
      </c>
      <c r="I53" s="38"/>
      <c r="J53" s="38"/>
      <c r="K53" s="38"/>
      <c r="L53" s="38"/>
      <c r="M53" s="26"/>
      <c r="N53" s="26"/>
      <c r="O53" s="26"/>
      <c r="P53" s="26"/>
      <c r="Q53" s="26"/>
      <c r="R53" s="26"/>
      <c r="S53" s="26"/>
      <c r="T53" s="26"/>
      <c r="U53" s="26"/>
      <c r="V53" s="26"/>
      <c r="W53" s="26"/>
      <c r="X53" s="26"/>
      <c r="Y53" s="26"/>
      <c r="Z53" s="26"/>
    </row>
    <row r="54" ht="14.25" customHeight="1">
      <c r="A54" s="49">
        <v>9.0</v>
      </c>
      <c r="B54" s="39" t="s">
        <v>81</v>
      </c>
      <c r="C54" s="23" t="s">
        <v>98</v>
      </c>
      <c r="D54" s="50" t="s">
        <v>99</v>
      </c>
      <c r="E54" s="51" t="s">
        <v>27</v>
      </c>
      <c r="F54" s="52">
        <v>5.0</v>
      </c>
      <c r="G54" s="23" t="s">
        <v>84</v>
      </c>
      <c r="H54" s="37" t="s">
        <v>83</v>
      </c>
      <c r="I54" s="38"/>
      <c r="J54" s="38"/>
      <c r="K54" s="38"/>
      <c r="L54" s="38"/>
      <c r="M54" s="26"/>
      <c r="N54" s="26"/>
      <c r="O54" s="26"/>
      <c r="P54" s="26"/>
      <c r="Q54" s="26"/>
      <c r="R54" s="26"/>
      <c r="S54" s="26"/>
      <c r="T54" s="26"/>
      <c r="U54" s="26"/>
      <c r="V54" s="26"/>
      <c r="W54" s="26"/>
      <c r="X54" s="26"/>
      <c r="Y54" s="26"/>
      <c r="Z54" s="26"/>
    </row>
    <row r="55" ht="14.25" customHeight="1">
      <c r="A55" s="49">
        <v>9.0</v>
      </c>
      <c r="B55" s="39" t="s">
        <v>81</v>
      </c>
      <c r="C55" s="23" t="s">
        <v>98</v>
      </c>
      <c r="D55" s="50" t="s">
        <v>99</v>
      </c>
      <c r="E55" s="51" t="s">
        <v>26</v>
      </c>
      <c r="F55" s="52">
        <v>5.0</v>
      </c>
      <c r="G55" s="23" t="s">
        <v>84</v>
      </c>
      <c r="H55" s="37" t="s">
        <v>24</v>
      </c>
      <c r="I55" s="38"/>
      <c r="J55" s="38"/>
      <c r="K55" s="38"/>
      <c r="L55" s="38"/>
      <c r="M55" s="26"/>
      <c r="N55" s="26"/>
      <c r="O55" s="26"/>
      <c r="P55" s="26"/>
      <c r="Q55" s="26"/>
      <c r="R55" s="26"/>
      <c r="S55" s="26"/>
      <c r="T55" s="26"/>
      <c r="U55" s="26"/>
      <c r="V55" s="26"/>
      <c r="W55" s="26"/>
      <c r="X55" s="26"/>
      <c r="Y55" s="26"/>
      <c r="Z55" s="26"/>
    </row>
    <row r="56" ht="15.0" customHeight="1">
      <c r="A56" s="49">
        <v>10.0</v>
      </c>
      <c r="B56" s="39" t="s">
        <v>81</v>
      </c>
      <c r="C56" s="23" t="s">
        <v>100</v>
      </c>
      <c r="D56" s="37" t="s">
        <v>101</v>
      </c>
      <c r="E56" s="51" t="s">
        <v>83</v>
      </c>
      <c r="F56" s="53">
        <v>4.0</v>
      </c>
      <c r="G56" s="23" t="s">
        <v>84</v>
      </c>
      <c r="H56" s="37" t="s">
        <v>27</v>
      </c>
      <c r="I56" s="26"/>
      <c r="J56" s="26"/>
      <c r="K56" s="26"/>
      <c r="L56" s="26"/>
      <c r="M56" s="26"/>
      <c r="N56" s="26"/>
      <c r="O56" s="26"/>
      <c r="P56" s="26"/>
      <c r="Q56" s="26"/>
      <c r="R56" s="26"/>
      <c r="S56" s="26"/>
      <c r="T56" s="26"/>
      <c r="U56" s="26"/>
      <c r="V56" s="26"/>
      <c r="W56" s="26"/>
      <c r="X56" s="26"/>
      <c r="Y56" s="26"/>
      <c r="Z56" s="26"/>
    </row>
    <row r="57" ht="15.0" customHeight="1">
      <c r="A57" s="49">
        <v>10.0</v>
      </c>
      <c r="B57" s="39" t="s">
        <v>81</v>
      </c>
      <c r="C57" s="23" t="s">
        <v>100</v>
      </c>
      <c r="D57" s="37" t="s">
        <v>101</v>
      </c>
      <c r="E57" s="51" t="s">
        <v>24</v>
      </c>
      <c r="F57" s="53">
        <v>4.0</v>
      </c>
      <c r="G57" s="23" t="s">
        <v>84</v>
      </c>
      <c r="H57" s="37" t="s">
        <v>25</v>
      </c>
      <c r="I57" s="26"/>
      <c r="J57" s="26"/>
      <c r="K57" s="26"/>
      <c r="L57" s="26"/>
      <c r="M57" s="26"/>
      <c r="N57" s="26"/>
      <c r="O57" s="26"/>
      <c r="P57" s="26"/>
      <c r="Q57" s="26"/>
      <c r="R57" s="26"/>
      <c r="S57" s="26"/>
      <c r="T57" s="26"/>
      <c r="U57" s="26"/>
      <c r="V57" s="26"/>
      <c r="W57" s="26"/>
      <c r="X57" s="26"/>
      <c r="Y57" s="26"/>
      <c r="Z57" s="26"/>
    </row>
    <row r="58" ht="15.0" customHeight="1">
      <c r="A58" s="49">
        <v>10.0</v>
      </c>
      <c r="B58" s="39" t="s">
        <v>81</v>
      </c>
      <c r="C58" s="23" t="s">
        <v>100</v>
      </c>
      <c r="D58" s="37" t="s">
        <v>101</v>
      </c>
      <c r="E58" s="51" t="s">
        <v>25</v>
      </c>
      <c r="F58" s="53">
        <v>4.0</v>
      </c>
      <c r="G58" s="23" t="s">
        <v>84</v>
      </c>
      <c r="H58" s="37" t="s">
        <v>102</v>
      </c>
      <c r="I58" s="26"/>
      <c r="J58" s="26"/>
      <c r="K58" s="26"/>
      <c r="L58" s="26"/>
      <c r="M58" s="26"/>
      <c r="N58" s="26"/>
      <c r="O58" s="26"/>
      <c r="P58" s="26"/>
      <c r="Q58" s="26"/>
      <c r="R58" s="26"/>
      <c r="S58" s="26"/>
      <c r="T58" s="26"/>
      <c r="U58" s="26"/>
      <c r="V58" s="26"/>
      <c r="W58" s="26"/>
      <c r="X58" s="26"/>
      <c r="Y58" s="26"/>
      <c r="Z58" s="26"/>
    </row>
    <row r="59" ht="15.0" customHeight="1">
      <c r="A59" s="49">
        <v>10.0</v>
      </c>
      <c r="B59" s="39" t="s">
        <v>81</v>
      </c>
      <c r="C59" s="23" t="s">
        <v>100</v>
      </c>
      <c r="D59" s="37" t="s">
        <v>101</v>
      </c>
      <c r="E59" s="51" t="s">
        <v>83</v>
      </c>
      <c r="F59" s="53">
        <v>4.0</v>
      </c>
      <c r="G59" s="23" t="s">
        <v>84</v>
      </c>
      <c r="H59" s="37" t="s">
        <v>22</v>
      </c>
      <c r="I59" s="26"/>
      <c r="J59" s="26"/>
      <c r="K59" s="26"/>
      <c r="L59" s="26"/>
      <c r="M59" s="26"/>
      <c r="N59" s="26"/>
      <c r="O59" s="26"/>
      <c r="P59" s="26"/>
      <c r="Q59" s="26"/>
      <c r="R59" s="26"/>
      <c r="S59" s="26"/>
      <c r="T59" s="26"/>
      <c r="U59" s="26"/>
      <c r="V59" s="26"/>
      <c r="W59" s="26"/>
      <c r="X59" s="26"/>
      <c r="Y59" s="26"/>
      <c r="Z59" s="26"/>
    </row>
    <row r="60" ht="15.0" customHeight="1">
      <c r="A60" s="49">
        <v>10.0</v>
      </c>
      <c r="B60" s="39" t="s">
        <v>81</v>
      </c>
      <c r="C60" s="23" t="s">
        <v>100</v>
      </c>
      <c r="D60" s="37" t="s">
        <v>101</v>
      </c>
      <c r="E60" s="51" t="s">
        <v>26</v>
      </c>
      <c r="F60" s="53">
        <v>4.0</v>
      </c>
      <c r="G60" s="23" t="s">
        <v>84</v>
      </c>
      <c r="H60" s="37" t="s">
        <v>27</v>
      </c>
      <c r="I60" s="26"/>
      <c r="J60" s="26"/>
      <c r="K60" s="26"/>
      <c r="L60" s="26"/>
      <c r="M60" s="26"/>
      <c r="N60" s="26"/>
      <c r="O60" s="26"/>
      <c r="P60" s="26"/>
      <c r="Q60" s="26"/>
      <c r="R60" s="26"/>
      <c r="S60" s="26"/>
      <c r="T60" s="26"/>
      <c r="U60" s="26"/>
      <c r="V60" s="26"/>
      <c r="W60" s="26"/>
      <c r="X60" s="26"/>
      <c r="Y60" s="26"/>
      <c r="Z60" s="26"/>
    </row>
    <row r="61" ht="15.0" customHeight="1">
      <c r="A61" s="49">
        <v>10.0</v>
      </c>
      <c r="B61" s="39" t="s">
        <v>81</v>
      </c>
      <c r="C61" s="23" t="s">
        <v>100</v>
      </c>
      <c r="D61" s="37" t="s">
        <v>101</v>
      </c>
      <c r="E61" s="51" t="s">
        <v>27</v>
      </c>
      <c r="F61" s="53">
        <v>4.0</v>
      </c>
      <c r="G61" s="23" t="s">
        <v>84</v>
      </c>
      <c r="H61" s="37" t="s">
        <v>24</v>
      </c>
      <c r="I61" s="26"/>
      <c r="J61" s="26"/>
      <c r="K61" s="26"/>
      <c r="L61" s="26"/>
      <c r="M61" s="26"/>
      <c r="N61" s="26"/>
      <c r="O61" s="26"/>
      <c r="P61" s="26"/>
      <c r="Q61" s="26"/>
      <c r="R61" s="26"/>
      <c r="S61" s="26"/>
      <c r="T61" s="26"/>
      <c r="U61" s="26"/>
      <c r="V61" s="26"/>
      <c r="W61" s="26"/>
      <c r="X61" s="26"/>
      <c r="Y61" s="26"/>
      <c r="Z61" s="26"/>
    </row>
    <row r="62" ht="15.0" customHeight="1">
      <c r="A62" s="49">
        <v>11.0</v>
      </c>
      <c r="B62" s="39" t="s">
        <v>81</v>
      </c>
      <c r="C62" s="23" t="s">
        <v>103</v>
      </c>
      <c r="D62" s="37" t="s">
        <v>104</v>
      </c>
      <c r="E62" s="51" t="s">
        <v>26</v>
      </c>
      <c r="F62" s="53">
        <v>5.0</v>
      </c>
      <c r="G62" s="23" t="s">
        <v>84</v>
      </c>
      <c r="H62" s="37" t="s">
        <v>85</v>
      </c>
      <c r="I62" s="26"/>
      <c r="J62" s="26"/>
      <c r="K62" s="26"/>
      <c r="L62" s="26"/>
      <c r="M62" s="26"/>
      <c r="N62" s="26"/>
      <c r="O62" s="26"/>
      <c r="P62" s="26"/>
      <c r="Q62" s="26"/>
      <c r="R62" s="26"/>
      <c r="S62" s="26"/>
      <c r="T62" s="26"/>
      <c r="U62" s="26"/>
      <c r="V62" s="26"/>
      <c r="W62" s="26"/>
      <c r="X62" s="26"/>
      <c r="Y62" s="26"/>
      <c r="Z62" s="26"/>
    </row>
    <row r="63" ht="15.0" customHeight="1">
      <c r="A63" s="49">
        <v>11.0</v>
      </c>
      <c r="B63" s="39" t="s">
        <v>81</v>
      </c>
      <c r="C63" s="23" t="s">
        <v>103</v>
      </c>
      <c r="D63" s="37" t="s">
        <v>104</v>
      </c>
      <c r="E63" s="51" t="s">
        <v>27</v>
      </c>
      <c r="F63" s="53">
        <v>5.0</v>
      </c>
      <c r="G63" s="23" t="s">
        <v>84</v>
      </c>
      <c r="H63" s="37" t="s">
        <v>24</v>
      </c>
      <c r="I63" s="26"/>
      <c r="J63" s="26"/>
      <c r="K63" s="26"/>
      <c r="L63" s="26"/>
      <c r="M63" s="26"/>
      <c r="N63" s="26"/>
      <c r="O63" s="26"/>
      <c r="P63" s="26"/>
      <c r="Q63" s="26"/>
      <c r="R63" s="26"/>
      <c r="S63" s="26"/>
      <c r="T63" s="26"/>
      <c r="U63" s="26"/>
      <c r="V63" s="26"/>
      <c r="W63" s="26"/>
      <c r="X63" s="26"/>
      <c r="Y63" s="26"/>
      <c r="Z63" s="26"/>
    </row>
    <row r="64" ht="15.0" customHeight="1">
      <c r="A64" s="49">
        <v>11.0</v>
      </c>
      <c r="B64" s="39" t="s">
        <v>81</v>
      </c>
      <c r="C64" s="23" t="s">
        <v>103</v>
      </c>
      <c r="D64" s="37" t="s">
        <v>104</v>
      </c>
      <c r="E64" s="51" t="s">
        <v>22</v>
      </c>
      <c r="F64" s="53">
        <v>5.0</v>
      </c>
      <c r="G64" s="23" t="s">
        <v>84</v>
      </c>
      <c r="H64" s="37" t="s">
        <v>83</v>
      </c>
      <c r="I64" s="26"/>
      <c r="J64" s="26"/>
      <c r="K64" s="26"/>
      <c r="L64" s="26"/>
      <c r="M64" s="26"/>
      <c r="N64" s="26"/>
      <c r="O64" s="26"/>
      <c r="P64" s="26"/>
      <c r="Q64" s="26"/>
      <c r="R64" s="26"/>
      <c r="S64" s="26"/>
      <c r="T64" s="26"/>
      <c r="U64" s="26"/>
      <c r="V64" s="26"/>
      <c r="W64" s="26"/>
      <c r="X64" s="26"/>
      <c r="Y64" s="26"/>
      <c r="Z64" s="26"/>
    </row>
    <row r="65" ht="15.0" customHeight="1">
      <c r="A65" s="49">
        <v>11.0</v>
      </c>
      <c r="B65" s="39" t="s">
        <v>81</v>
      </c>
      <c r="C65" s="23" t="s">
        <v>103</v>
      </c>
      <c r="D65" s="37" t="s">
        <v>104</v>
      </c>
      <c r="E65" s="51" t="s">
        <v>25</v>
      </c>
      <c r="F65" s="53">
        <v>5.0</v>
      </c>
      <c r="G65" s="23" t="s">
        <v>84</v>
      </c>
      <c r="H65" s="37" t="s">
        <v>22</v>
      </c>
      <c r="I65" s="26"/>
      <c r="J65" s="26"/>
      <c r="K65" s="26"/>
      <c r="L65" s="26"/>
      <c r="M65" s="26"/>
      <c r="N65" s="26"/>
      <c r="O65" s="26"/>
      <c r="P65" s="26"/>
      <c r="Q65" s="26"/>
      <c r="R65" s="26"/>
      <c r="S65" s="26"/>
      <c r="T65" s="26"/>
      <c r="U65" s="26"/>
      <c r="V65" s="26"/>
      <c r="W65" s="26"/>
      <c r="X65" s="26"/>
      <c r="Y65" s="26"/>
      <c r="Z65" s="26"/>
    </row>
    <row r="66" ht="15.0" customHeight="1">
      <c r="A66" s="49">
        <v>11.0</v>
      </c>
      <c r="B66" s="39" t="s">
        <v>81</v>
      </c>
      <c r="C66" s="23" t="s">
        <v>103</v>
      </c>
      <c r="D66" s="54" t="s">
        <v>104</v>
      </c>
      <c r="E66" s="51" t="s">
        <v>83</v>
      </c>
      <c r="F66" s="53">
        <v>5.0</v>
      </c>
      <c r="G66" s="23" t="s">
        <v>84</v>
      </c>
      <c r="H66" s="37" t="s">
        <v>27</v>
      </c>
      <c r="I66" s="26"/>
      <c r="J66" s="26"/>
      <c r="K66" s="26"/>
      <c r="L66" s="26"/>
      <c r="M66" s="26"/>
      <c r="N66" s="26"/>
      <c r="O66" s="26"/>
      <c r="P66" s="26"/>
      <c r="Q66" s="26"/>
      <c r="R66" s="26"/>
      <c r="S66" s="26"/>
      <c r="T66" s="26"/>
      <c r="U66" s="26"/>
      <c r="V66" s="26"/>
      <c r="W66" s="26"/>
      <c r="X66" s="26"/>
      <c r="Y66" s="26"/>
      <c r="Z66" s="26"/>
    </row>
    <row r="67" ht="15.0" customHeight="1">
      <c r="A67" s="49">
        <v>11.0</v>
      </c>
      <c r="B67" s="39" t="s">
        <v>81</v>
      </c>
      <c r="C67" s="23" t="s">
        <v>103</v>
      </c>
      <c r="D67" s="23" t="s">
        <v>104</v>
      </c>
      <c r="E67" s="55" t="s">
        <v>24</v>
      </c>
      <c r="F67" s="56">
        <v>5.0</v>
      </c>
      <c r="G67" s="23" t="s">
        <v>84</v>
      </c>
      <c r="H67" s="37" t="s">
        <v>26</v>
      </c>
      <c r="I67" s="26"/>
      <c r="J67" s="26"/>
      <c r="K67" s="26"/>
      <c r="L67" s="26"/>
      <c r="M67" s="26"/>
      <c r="N67" s="26"/>
      <c r="O67" s="26"/>
      <c r="P67" s="26"/>
      <c r="Q67" s="26"/>
      <c r="R67" s="26"/>
      <c r="S67" s="26"/>
      <c r="T67" s="26"/>
      <c r="U67" s="26"/>
      <c r="V67" s="26"/>
      <c r="W67" s="26"/>
      <c r="X67" s="26"/>
      <c r="Y67" s="26"/>
      <c r="Z67" s="26"/>
    </row>
    <row r="68" ht="15.0" customHeight="1">
      <c r="A68" s="57">
        <v>12.0</v>
      </c>
      <c r="B68" s="49" t="str">
        <f>IFERROR(__xludf.DUMMYFUNCTION("AI(""Fill an appropriate value for this cell based on the table context"")"),"Team4")</f>
        <v>Team4</v>
      </c>
      <c r="C68" s="23" t="str">
        <f>IFERROR(__xludf.DUMMYFUNCTION("AI(""Fill an appropriate value for this cell based on the table context"")"),"T1-012")</f>
        <v>T1-012</v>
      </c>
      <c r="D68" s="58" t="s">
        <v>105</v>
      </c>
      <c r="E68" s="59" t="s">
        <v>26</v>
      </c>
      <c r="F68" s="23" t="str">
        <f>IFERROR(__xludf.DUMMYFUNCTION("AI(""Fill an appropriate value for this cell based on the table context"")"),"5")</f>
        <v>5</v>
      </c>
      <c r="G68" s="23" t="str">
        <f>IFERROR(__xludf.DUMMYFUNCTION("AI(""Fill an appropriate value for this cell based on the table context"")"),"Done")</f>
        <v>Done</v>
      </c>
      <c r="H68" s="37" t="s">
        <v>85</v>
      </c>
      <c r="I68" s="26"/>
      <c r="J68" s="26"/>
      <c r="K68" s="26"/>
      <c r="L68" s="26"/>
      <c r="M68" s="26"/>
      <c r="N68" s="26"/>
      <c r="O68" s="26"/>
      <c r="P68" s="26"/>
      <c r="Q68" s="26"/>
      <c r="R68" s="26"/>
      <c r="S68" s="26"/>
      <c r="T68" s="26"/>
      <c r="U68" s="26"/>
      <c r="V68" s="26"/>
      <c r="W68" s="26"/>
      <c r="X68" s="26"/>
      <c r="Y68" s="26"/>
      <c r="Z68" s="26"/>
    </row>
    <row r="69" ht="15.75" customHeight="1">
      <c r="A69" s="57">
        <v>12.0</v>
      </c>
      <c r="B69" s="49" t="str">
        <f>IFERROR(__xludf.DUMMYFUNCTION("AI(""Fill an appropriate value for this cell based on the table context"")"),"Team4")</f>
        <v>Team4</v>
      </c>
      <c r="C69" s="23" t="str">
        <f>IFERROR(__xludf.DUMMYFUNCTION("AI(""Fill an appropriate value for this cell based on the table context"")"),"T1-012")</f>
        <v>T1-012</v>
      </c>
      <c r="D69" s="58" t="s">
        <v>105</v>
      </c>
      <c r="E69" s="60" t="s">
        <v>27</v>
      </c>
      <c r="F69" s="23" t="str">
        <f>IFERROR(__xludf.DUMMYFUNCTION("AI(""Fill an appropriate value for this cell based on the table context"")"),"5")</f>
        <v>5</v>
      </c>
      <c r="G69" s="23" t="str">
        <f>IFERROR(__xludf.DUMMYFUNCTION("AI(""Fill an appropriate value for this cell based on the table context"")"),"Done")</f>
        <v>Done</v>
      </c>
      <c r="H69" s="37" t="s">
        <v>24</v>
      </c>
      <c r="I69" s="26"/>
      <c r="J69" s="26"/>
      <c r="K69" s="26"/>
      <c r="L69" s="26"/>
      <c r="M69" s="26"/>
      <c r="N69" s="26"/>
      <c r="O69" s="26"/>
      <c r="P69" s="26"/>
      <c r="Q69" s="26"/>
      <c r="R69" s="26"/>
      <c r="S69" s="26"/>
      <c r="T69" s="26"/>
      <c r="U69" s="26"/>
      <c r="V69" s="26"/>
      <c r="W69" s="26"/>
      <c r="X69" s="26"/>
      <c r="Y69" s="26"/>
      <c r="Z69" s="26"/>
    </row>
    <row r="70" ht="15.75" customHeight="1">
      <c r="A70" s="57">
        <v>12.0</v>
      </c>
      <c r="B70" s="49" t="str">
        <f>IFERROR(__xludf.DUMMYFUNCTION("AI(""Fill an appropriate value for this cell based on the table context"")"),"Team4")</f>
        <v>Team4</v>
      </c>
      <c r="C70" s="23" t="str">
        <f>IFERROR(__xludf.DUMMYFUNCTION("AI(""Fill an appropriate value for this cell based on the table context"")"),"T1-012")</f>
        <v>T1-012</v>
      </c>
      <c r="D70" s="58" t="s">
        <v>105</v>
      </c>
      <c r="E70" s="60" t="s">
        <v>22</v>
      </c>
      <c r="F70" s="23" t="str">
        <f>IFERROR(__xludf.DUMMYFUNCTION("AI(""Fill an appropriate value for this cell based on the table context"")"),"5")</f>
        <v>5</v>
      </c>
      <c r="G70" s="23" t="str">
        <f>IFERROR(__xludf.DUMMYFUNCTION("AI(""Fill an appropriate value for this cell based on the table context"")"),"Done")</f>
        <v>Done</v>
      </c>
      <c r="H70" s="37" t="s">
        <v>83</v>
      </c>
      <c r="I70" s="26"/>
      <c r="J70" s="26"/>
      <c r="K70" s="26"/>
      <c r="L70" s="26"/>
      <c r="M70" s="26"/>
      <c r="N70" s="26"/>
      <c r="O70" s="26"/>
      <c r="P70" s="26"/>
      <c r="Q70" s="26"/>
      <c r="R70" s="26"/>
      <c r="S70" s="26"/>
      <c r="T70" s="26"/>
      <c r="U70" s="26"/>
      <c r="V70" s="26"/>
      <c r="W70" s="26"/>
      <c r="X70" s="26"/>
      <c r="Y70" s="26"/>
      <c r="Z70" s="26"/>
    </row>
    <row r="71" ht="15.75" customHeight="1">
      <c r="A71" s="57">
        <v>12.0</v>
      </c>
      <c r="B71" s="49" t="str">
        <f>IFERROR(__xludf.DUMMYFUNCTION("AI(""Fill an appropriate value for this cell based on the table context"")"),"Team4")</f>
        <v>Team4</v>
      </c>
      <c r="C71" s="23" t="str">
        <f>IFERROR(__xludf.DUMMYFUNCTION("AI(""Fill an appropriate value for this cell based on the table context"")"),"T1-012")</f>
        <v>T1-012</v>
      </c>
      <c r="D71" s="58" t="s">
        <v>105</v>
      </c>
      <c r="E71" s="60" t="s">
        <v>25</v>
      </c>
      <c r="F71" s="23" t="str">
        <f>IFERROR(__xludf.DUMMYFUNCTION("AI(""Fill an appropriate value for this cell based on the table context"")"),"5")</f>
        <v>5</v>
      </c>
      <c r="G71" s="23" t="str">
        <f>IFERROR(__xludf.DUMMYFUNCTION("AI(""Fill an appropriate value for this cell based on the table context"")"),"Done")</f>
        <v>Done</v>
      </c>
      <c r="H71" s="37" t="s">
        <v>22</v>
      </c>
      <c r="I71" s="26"/>
      <c r="J71" s="26"/>
      <c r="K71" s="26"/>
      <c r="L71" s="26"/>
      <c r="M71" s="26"/>
      <c r="N71" s="26"/>
      <c r="O71" s="26"/>
      <c r="P71" s="26"/>
      <c r="Q71" s="26"/>
      <c r="R71" s="26"/>
      <c r="S71" s="26"/>
      <c r="T71" s="26"/>
      <c r="U71" s="26"/>
      <c r="V71" s="26"/>
      <c r="W71" s="26"/>
      <c r="X71" s="26"/>
      <c r="Y71" s="26"/>
      <c r="Z71" s="26"/>
    </row>
    <row r="72" ht="15.75" customHeight="1">
      <c r="A72" s="57">
        <v>12.0</v>
      </c>
      <c r="B72" s="49" t="str">
        <f>IFERROR(__xludf.DUMMYFUNCTION("AI(""Fill an appropriate value for this cell based on the table context"")"),"Team4")</f>
        <v>Team4</v>
      </c>
      <c r="C72" s="23" t="str">
        <f>IFERROR(__xludf.DUMMYFUNCTION("AI(""Fill an appropriate value for this cell based on the table context"")"),"T1-012")</f>
        <v>T1-012</v>
      </c>
      <c r="D72" s="58" t="s">
        <v>105</v>
      </c>
      <c r="E72" s="60" t="s">
        <v>83</v>
      </c>
      <c r="F72" s="23" t="str">
        <f>IFERROR(__xludf.DUMMYFUNCTION("AI(""Fill an appropriate value for this cell based on the table context"")"),"5")</f>
        <v>5</v>
      </c>
      <c r="G72" s="23" t="str">
        <f>IFERROR(__xludf.DUMMYFUNCTION("AI(""Fill an appropriate value for this cell based on the table context"")"),"Done")</f>
        <v>Done</v>
      </c>
      <c r="H72" s="37" t="s">
        <v>27</v>
      </c>
      <c r="I72" s="26"/>
      <c r="J72" s="26"/>
      <c r="K72" s="26"/>
      <c r="L72" s="26"/>
      <c r="M72" s="26"/>
      <c r="N72" s="26"/>
      <c r="O72" s="26"/>
      <c r="P72" s="26"/>
      <c r="Q72" s="26"/>
      <c r="R72" s="26"/>
      <c r="S72" s="26"/>
      <c r="T72" s="26"/>
      <c r="U72" s="26"/>
      <c r="V72" s="26"/>
      <c r="W72" s="26"/>
      <c r="X72" s="26"/>
      <c r="Y72" s="26"/>
      <c r="Z72" s="26"/>
    </row>
    <row r="73" ht="15.75" customHeight="1">
      <c r="A73" s="61">
        <v>12.0</v>
      </c>
      <c r="B73" s="62" t="str">
        <f>IFERROR(__xludf.DUMMYFUNCTION("AI(""Fill an appropriate value for this cell based on the table context"")"),"Team4")</f>
        <v>Team4</v>
      </c>
      <c r="C73" s="23" t="str">
        <f>IFERROR(__xludf.DUMMYFUNCTION("AI(""Fill an appropriate value for this cell based on the table context"")"),"T1-012")</f>
        <v>T1-012</v>
      </c>
      <c r="D73" s="58" t="s">
        <v>105</v>
      </c>
      <c r="E73" s="60" t="s">
        <v>24</v>
      </c>
      <c r="F73" s="63" t="str">
        <f>IFERROR(__xludf.DUMMYFUNCTION("AI(""Fill an appropriate value for this cell based on the table context"")"),"5")</f>
        <v>5</v>
      </c>
      <c r="G73" s="63" t="str">
        <f>IFERROR(__xludf.DUMMYFUNCTION("AI(""Fill an appropriate value for this cell based on the table context"")"),"Done")</f>
        <v>Done</v>
      </c>
      <c r="H73" s="37" t="s">
        <v>26</v>
      </c>
      <c r="I73" s="26"/>
      <c r="J73" s="26"/>
      <c r="K73" s="26"/>
      <c r="L73" s="26"/>
      <c r="M73" s="26"/>
      <c r="N73" s="26"/>
      <c r="O73" s="26"/>
      <c r="P73" s="26"/>
      <c r="Q73" s="26"/>
      <c r="R73" s="26"/>
      <c r="S73" s="26"/>
      <c r="T73" s="26"/>
      <c r="U73" s="26"/>
      <c r="V73" s="26"/>
      <c r="W73" s="26"/>
      <c r="X73" s="26"/>
      <c r="Y73" s="26"/>
      <c r="Z73" s="26"/>
    </row>
    <row r="74" ht="15.75" customHeight="1">
      <c r="A74" s="57">
        <v>13.0</v>
      </c>
      <c r="B74" s="49" t="str">
        <f>IFERROR(__xludf.DUMMYFUNCTION("AI(""Fill an appropriate value for this cell based on the table context"")"),"Team4")</f>
        <v>Team4</v>
      </c>
      <c r="C74" s="58" t="s">
        <v>106</v>
      </c>
      <c r="D74" s="58" t="s">
        <v>107</v>
      </c>
      <c r="E74" s="60" t="s">
        <v>26</v>
      </c>
      <c r="F74" s="23" t="str">
        <f>IFERROR(__xludf.DUMMYFUNCTION("AI(""Fill an appropriate value for this cell based on the table context"")"),"5")</f>
        <v>5</v>
      </c>
      <c r="G74" s="23" t="str">
        <f>IFERROR(__xludf.DUMMYFUNCTION("AI(""Fill an appropriate value for this cell based on the table context"")"),"Done")</f>
        <v>Done</v>
      </c>
      <c r="H74" s="37" t="s">
        <v>85</v>
      </c>
      <c r="I74" s="26"/>
      <c r="J74" s="26"/>
      <c r="K74" s="26"/>
      <c r="L74" s="26"/>
      <c r="M74" s="26"/>
      <c r="N74" s="26"/>
      <c r="O74" s="26"/>
      <c r="P74" s="26"/>
      <c r="Q74" s="26"/>
      <c r="R74" s="26"/>
      <c r="S74" s="26"/>
      <c r="T74" s="26"/>
      <c r="U74" s="26"/>
      <c r="V74" s="26"/>
      <c r="W74" s="26"/>
      <c r="X74" s="26"/>
      <c r="Y74" s="26"/>
      <c r="Z74" s="26"/>
    </row>
    <row r="75" ht="15.75" customHeight="1">
      <c r="A75" s="57">
        <v>13.0</v>
      </c>
      <c r="B75" s="49" t="str">
        <f>IFERROR(__xludf.DUMMYFUNCTION("AI(""Fill an appropriate value for this cell based on the table context"")"),"Team4")</f>
        <v>Team4</v>
      </c>
      <c r="C75" s="58" t="s">
        <v>106</v>
      </c>
      <c r="D75" s="58" t="s">
        <v>107</v>
      </c>
      <c r="E75" s="60" t="s">
        <v>27</v>
      </c>
      <c r="F75" s="23" t="str">
        <f>IFERROR(__xludf.DUMMYFUNCTION("AI(""Fill an appropriate value for this cell based on the table context"")"),"5")</f>
        <v>5</v>
      </c>
      <c r="G75" s="23" t="str">
        <f>IFERROR(__xludf.DUMMYFUNCTION("AI(""Fill an appropriate value for this cell based on the table context"")"),"Done")</f>
        <v>Done</v>
      </c>
      <c r="H75" s="37" t="s">
        <v>24</v>
      </c>
      <c r="I75" s="26"/>
      <c r="J75" s="26"/>
      <c r="K75" s="26"/>
      <c r="L75" s="26"/>
      <c r="M75" s="26"/>
      <c r="N75" s="26"/>
      <c r="O75" s="26"/>
      <c r="P75" s="26"/>
      <c r="Q75" s="26"/>
      <c r="R75" s="26"/>
      <c r="S75" s="26"/>
      <c r="T75" s="26"/>
      <c r="U75" s="26"/>
      <c r="V75" s="26"/>
      <c r="W75" s="26"/>
      <c r="X75" s="26"/>
      <c r="Y75" s="26"/>
      <c r="Z75" s="26"/>
    </row>
    <row r="76" ht="15.75" customHeight="1">
      <c r="A76" s="57">
        <v>13.0</v>
      </c>
      <c r="B76" s="49" t="str">
        <f>IFERROR(__xludf.DUMMYFUNCTION("AI(""Fill an appropriate value for this cell based on the table context"")"),"Team4")</f>
        <v>Team4</v>
      </c>
      <c r="C76" s="58" t="s">
        <v>106</v>
      </c>
      <c r="D76" s="58" t="s">
        <v>107</v>
      </c>
      <c r="E76" s="60" t="s">
        <v>22</v>
      </c>
      <c r="F76" s="23" t="str">
        <f>IFERROR(__xludf.DUMMYFUNCTION("AI(""Fill an appropriate value for this cell based on the table context"")"),"5")</f>
        <v>5</v>
      </c>
      <c r="G76" s="23" t="str">
        <f>IFERROR(__xludf.DUMMYFUNCTION("AI(""Fill an appropriate value for this cell based on the table context"")"),"Done")</f>
        <v>Done</v>
      </c>
      <c r="H76" s="37" t="s">
        <v>83</v>
      </c>
      <c r="I76" s="26"/>
      <c r="J76" s="26"/>
      <c r="K76" s="26"/>
      <c r="L76" s="26"/>
      <c r="M76" s="26"/>
      <c r="N76" s="26"/>
      <c r="O76" s="26"/>
      <c r="P76" s="26"/>
      <c r="Q76" s="26"/>
      <c r="R76" s="26"/>
      <c r="S76" s="26"/>
      <c r="T76" s="26"/>
      <c r="U76" s="26"/>
      <c r="V76" s="26"/>
      <c r="W76" s="26"/>
      <c r="X76" s="26"/>
      <c r="Y76" s="26"/>
      <c r="Z76" s="26"/>
    </row>
    <row r="77" ht="15.75" customHeight="1">
      <c r="A77" s="57">
        <v>13.0</v>
      </c>
      <c r="B77" s="49" t="str">
        <f>IFERROR(__xludf.DUMMYFUNCTION("AI(""Fill an appropriate value for this cell based on the table context"")"),"Team4")</f>
        <v>Team4</v>
      </c>
      <c r="C77" s="58" t="s">
        <v>106</v>
      </c>
      <c r="D77" s="58" t="s">
        <v>107</v>
      </c>
      <c r="E77" s="60" t="s">
        <v>25</v>
      </c>
      <c r="F77" s="23" t="str">
        <f>IFERROR(__xludf.DUMMYFUNCTION("AI(""Fill an appropriate value for this cell based on the table context"")"),"5")</f>
        <v>5</v>
      </c>
      <c r="G77" s="23" t="str">
        <f>IFERROR(__xludf.DUMMYFUNCTION("AI(""Fill an appropriate value for this cell based on the table context"")"),"Done")</f>
        <v>Done</v>
      </c>
      <c r="H77" s="37" t="s">
        <v>22</v>
      </c>
      <c r="I77" s="26"/>
      <c r="J77" s="26"/>
      <c r="K77" s="26"/>
      <c r="L77" s="26"/>
      <c r="M77" s="26"/>
      <c r="N77" s="26"/>
      <c r="O77" s="26"/>
      <c r="P77" s="26"/>
      <c r="Q77" s="26"/>
      <c r="R77" s="26"/>
      <c r="S77" s="26"/>
      <c r="T77" s="26"/>
      <c r="U77" s="26"/>
      <c r="V77" s="26"/>
      <c r="W77" s="26"/>
      <c r="X77" s="26"/>
      <c r="Y77" s="26"/>
      <c r="Z77" s="26"/>
    </row>
    <row r="78" ht="15.75" customHeight="1">
      <c r="A78" s="57">
        <v>13.0</v>
      </c>
      <c r="B78" s="49" t="str">
        <f>IFERROR(__xludf.DUMMYFUNCTION("AI(""Fill an appropriate value for this cell based on the table context"")"),"Team4")</f>
        <v>Team4</v>
      </c>
      <c r="C78" s="58" t="s">
        <v>106</v>
      </c>
      <c r="D78" s="58" t="s">
        <v>107</v>
      </c>
      <c r="E78" s="60" t="s">
        <v>83</v>
      </c>
      <c r="F78" s="23" t="str">
        <f>IFERROR(__xludf.DUMMYFUNCTION("AI(""Fill an appropriate value for this cell based on the table context"")"),"5")</f>
        <v>5</v>
      </c>
      <c r="G78" s="23" t="str">
        <f>IFERROR(__xludf.DUMMYFUNCTION("AI(""Fill an appropriate value for this cell based on the table context"")"),"Done")</f>
        <v>Done</v>
      </c>
      <c r="H78" s="37" t="s">
        <v>27</v>
      </c>
      <c r="I78" s="26"/>
      <c r="J78" s="26"/>
      <c r="K78" s="26"/>
      <c r="L78" s="26"/>
      <c r="M78" s="26"/>
      <c r="N78" s="26"/>
      <c r="O78" s="26"/>
      <c r="P78" s="26"/>
      <c r="Q78" s="26"/>
      <c r="R78" s="26"/>
      <c r="S78" s="26"/>
      <c r="T78" s="26"/>
      <c r="U78" s="26"/>
      <c r="V78" s="26"/>
      <c r="W78" s="26"/>
      <c r="X78" s="26"/>
      <c r="Y78" s="26"/>
      <c r="Z78" s="26"/>
    </row>
    <row r="79" ht="15.75" customHeight="1">
      <c r="A79" s="57">
        <v>13.0</v>
      </c>
      <c r="B79" s="49" t="str">
        <f>IFERROR(__xludf.DUMMYFUNCTION("AI(""Fill an appropriate value for this cell based on the table context"")"),"Team4")</f>
        <v>Team4</v>
      </c>
      <c r="C79" s="58" t="s">
        <v>106</v>
      </c>
      <c r="D79" s="58" t="s">
        <v>107</v>
      </c>
      <c r="E79" s="60" t="s">
        <v>24</v>
      </c>
      <c r="F79" s="23" t="str">
        <f>IFERROR(__xludf.DUMMYFUNCTION("AI(""Fill an appropriate value for this cell based on the table context"")"),"5")</f>
        <v>5</v>
      </c>
      <c r="G79" s="23" t="str">
        <f>IFERROR(__xludf.DUMMYFUNCTION("AI(""Fill an appropriate value for this cell based on the table context"")"),"Done")</f>
        <v>Done</v>
      </c>
      <c r="H79" s="37" t="s">
        <v>26</v>
      </c>
      <c r="I79" s="26"/>
      <c r="J79" s="26"/>
      <c r="K79" s="26"/>
      <c r="L79" s="26"/>
      <c r="M79" s="26"/>
      <c r="N79" s="26"/>
      <c r="O79" s="26"/>
      <c r="P79" s="26"/>
      <c r="Q79" s="26"/>
      <c r="R79" s="26"/>
      <c r="S79" s="26"/>
      <c r="T79" s="26"/>
      <c r="U79" s="26"/>
      <c r="V79" s="26"/>
      <c r="W79" s="26"/>
      <c r="X79" s="26"/>
      <c r="Y79" s="26"/>
      <c r="Z79" s="26"/>
    </row>
    <row r="80" ht="15.75" customHeight="1">
      <c r="A80" s="57">
        <v>14.0</v>
      </c>
      <c r="B80" s="49" t="str">
        <f>IFERROR(__xludf.DUMMYFUNCTION("AI(""Fill an appropriate value for this cell based on the table context"")"),"Team4")</f>
        <v>Team4</v>
      </c>
      <c r="C80" s="58" t="s">
        <v>108</v>
      </c>
      <c r="D80" s="58" t="s">
        <v>61</v>
      </c>
      <c r="E80" s="60" t="s">
        <v>26</v>
      </c>
      <c r="F80" s="23" t="str">
        <f>IFERROR(__xludf.DUMMYFUNCTION("AI(""Fill an appropriate value for this cell based on the table context"")"),"5")</f>
        <v>5</v>
      </c>
      <c r="G80" s="23" t="str">
        <f>IFERROR(__xludf.DUMMYFUNCTION("AI(""Fill an appropriate value for this cell based on the table context"")"),"Done")</f>
        <v>Done</v>
      </c>
      <c r="H80" s="37" t="s">
        <v>85</v>
      </c>
      <c r="I80" s="26"/>
      <c r="J80" s="26"/>
      <c r="K80" s="26"/>
      <c r="L80" s="26"/>
      <c r="M80" s="26"/>
      <c r="N80" s="26"/>
      <c r="O80" s="26"/>
      <c r="P80" s="26"/>
      <c r="Q80" s="26"/>
      <c r="R80" s="26"/>
      <c r="S80" s="26"/>
      <c r="T80" s="26"/>
      <c r="U80" s="26"/>
      <c r="V80" s="26"/>
      <c r="W80" s="26"/>
      <c r="X80" s="26"/>
      <c r="Y80" s="26"/>
      <c r="Z80" s="26"/>
    </row>
    <row r="81" ht="15.75" customHeight="1">
      <c r="A81" s="57">
        <v>14.0</v>
      </c>
      <c r="B81" s="49" t="str">
        <f>IFERROR(__xludf.DUMMYFUNCTION("AI(""Fill an appropriate value for this cell based on the table context"")"),"Team4")</f>
        <v>Team4</v>
      </c>
      <c r="C81" s="58" t="s">
        <v>108</v>
      </c>
      <c r="D81" s="58" t="s">
        <v>61</v>
      </c>
      <c r="E81" s="60" t="s">
        <v>27</v>
      </c>
      <c r="F81" s="23" t="str">
        <f>IFERROR(__xludf.DUMMYFUNCTION("AI(""Fill an appropriate value for this cell based on the table context"")"),"5")</f>
        <v>5</v>
      </c>
      <c r="G81" s="23" t="str">
        <f>IFERROR(__xludf.DUMMYFUNCTION("AI(""Fill an appropriate value for this cell based on the table context"")"),"Done")</f>
        <v>Done</v>
      </c>
      <c r="H81" s="37" t="s">
        <v>24</v>
      </c>
      <c r="I81" s="26"/>
      <c r="J81" s="26"/>
      <c r="K81" s="26"/>
      <c r="L81" s="26"/>
      <c r="M81" s="26"/>
      <c r="N81" s="26"/>
      <c r="O81" s="26"/>
      <c r="P81" s="26"/>
      <c r="Q81" s="26"/>
      <c r="R81" s="26"/>
      <c r="S81" s="26"/>
      <c r="T81" s="26"/>
      <c r="U81" s="26"/>
      <c r="V81" s="26"/>
      <c r="W81" s="26"/>
      <c r="X81" s="26"/>
      <c r="Y81" s="26"/>
      <c r="Z81" s="26"/>
    </row>
    <row r="82" ht="15.75" customHeight="1">
      <c r="A82" s="57">
        <v>14.0</v>
      </c>
      <c r="B82" s="49" t="str">
        <f>IFERROR(__xludf.DUMMYFUNCTION("AI(""Fill an appropriate value for this cell based on the table context"")"),"Team4")</f>
        <v>Team4</v>
      </c>
      <c r="C82" s="58" t="s">
        <v>108</v>
      </c>
      <c r="D82" s="58" t="s">
        <v>61</v>
      </c>
      <c r="E82" s="60" t="s">
        <v>22</v>
      </c>
      <c r="F82" s="23" t="str">
        <f>IFERROR(__xludf.DUMMYFUNCTION("AI(""Fill an appropriate value for this cell based on the table context"")"),"5")</f>
        <v>5</v>
      </c>
      <c r="G82" s="23" t="str">
        <f>IFERROR(__xludf.DUMMYFUNCTION("AI(""Fill an appropriate value for this cell based on the table context"")"),"Done")</f>
        <v>Done</v>
      </c>
      <c r="H82" s="37" t="s">
        <v>83</v>
      </c>
      <c r="I82" s="26"/>
      <c r="J82" s="26"/>
      <c r="K82" s="26"/>
      <c r="L82" s="26"/>
      <c r="M82" s="26"/>
      <c r="N82" s="26"/>
      <c r="O82" s="26"/>
      <c r="P82" s="26"/>
      <c r="Q82" s="26"/>
      <c r="R82" s="26"/>
      <c r="S82" s="26"/>
      <c r="T82" s="26"/>
      <c r="U82" s="26"/>
      <c r="V82" s="26"/>
      <c r="W82" s="26"/>
      <c r="X82" s="26"/>
      <c r="Y82" s="26"/>
      <c r="Z82" s="26"/>
    </row>
    <row r="83" ht="15.75" customHeight="1">
      <c r="A83" s="57">
        <v>14.0</v>
      </c>
      <c r="B83" s="49" t="str">
        <f>IFERROR(__xludf.DUMMYFUNCTION("AI(""Fill an appropriate value for this cell based on the table context"")"),"Team4")</f>
        <v>Team4</v>
      </c>
      <c r="C83" s="58" t="s">
        <v>108</v>
      </c>
      <c r="D83" s="58" t="s">
        <v>61</v>
      </c>
      <c r="E83" s="60" t="s">
        <v>25</v>
      </c>
      <c r="F83" s="23" t="str">
        <f>IFERROR(__xludf.DUMMYFUNCTION("AI(""Fill an appropriate value for this cell based on the table context"")"),"5")</f>
        <v>5</v>
      </c>
      <c r="G83" s="23" t="str">
        <f>IFERROR(__xludf.DUMMYFUNCTION("AI(""Fill an appropriate value for this cell based on the table context"")"),"Done")</f>
        <v>Done</v>
      </c>
      <c r="H83" s="37" t="s">
        <v>22</v>
      </c>
      <c r="I83" s="26"/>
      <c r="J83" s="26"/>
      <c r="K83" s="26"/>
      <c r="L83" s="26"/>
      <c r="M83" s="26"/>
      <c r="N83" s="26"/>
      <c r="O83" s="26"/>
      <c r="P83" s="26"/>
      <c r="Q83" s="26"/>
      <c r="R83" s="26"/>
      <c r="S83" s="26"/>
      <c r="T83" s="26"/>
      <c r="U83" s="26"/>
      <c r="V83" s="26"/>
      <c r="W83" s="26"/>
      <c r="X83" s="26"/>
      <c r="Y83" s="26"/>
      <c r="Z83" s="26"/>
    </row>
    <row r="84" ht="15.75" customHeight="1">
      <c r="A84" s="57">
        <v>14.0</v>
      </c>
      <c r="B84" s="49" t="str">
        <f>IFERROR(__xludf.DUMMYFUNCTION("AI(""Fill an appropriate value for this cell based on the table context"")"),"Team4")</f>
        <v>Team4</v>
      </c>
      <c r="C84" s="58" t="s">
        <v>108</v>
      </c>
      <c r="D84" s="58" t="s">
        <v>61</v>
      </c>
      <c r="E84" s="60" t="s">
        <v>83</v>
      </c>
      <c r="F84" s="23" t="str">
        <f>IFERROR(__xludf.DUMMYFUNCTION("AI(""Fill an appropriate value for this cell based on the table context"")"),"5")</f>
        <v>5</v>
      </c>
      <c r="G84" s="23" t="str">
        <f>IFERROR(__xludf.DUMMYFUNCTION("AI(""Fill an appropriate value for this cell based on the table context"")"),"Done")</f>
        <v>Done</v>
      </c>
      <c r="H84" s="37" t="s">
        <v>27</v>
      </c>
      <c r="I84" s="26"/>
      <c r="J84" s="26"/>
      <c r="K84" s="26"/>
      <c r="L84" s="26"/>
      <c r="M84" s="26"/>
      <c r="N84" s="26"/>
      <c r="O84" s="26"/>
      <c r="P84" s="26"/>
      <c r="Q84" s="26"/>
      <c r="R84" s="26"/>
      <c r="S84" s="26"/>
      <c r="T84" s="26"/>
      <c r="U84" s="26"/>
      <c r="V84" s="26"/>
      <c r="W84" s="26"/>
      <c r="X84" s="26"/>
      <c r="Y84" s="26"/>
      <c r="Z84" s="26"/>
    </row>
    <row r="85" ht="15.75" customHeight="1">
      <c r="A85" s="64">
        <v>14.0</v>
      </c>
      <c r="B85" s="62" t="str">
        <f>IFERROR(__xludf.DUMMYFUNCTION("AI(""Fill an appropriate value for this cell based on the table context"")"),"Team4")</f>
        <v>Team4</v>
      </c>
      <c r="C85" s="65" t="s">
        <v>108</v>
      </c>
      <c r="D85" s="63" t="s">
        <v>105</v>
      </c>
      <c r="E85" s="60" t="s">
        <v>24</v>
      </c>
      <c r="F85" s="63" t="str">
        <f>IFERROR(__xludf.DUMMYFUNCTION("AI(""Fill an appropriate value for this cell based on the table context"")"),"5")</f>
        <v>5</v>
      </c>
      <c r="G85" s="63" t="str">
        <f>IFERROR(__xludf.DUMMYFUNCTION("AI(""Fill an appropriate value for this cell based on the table context"")"),"Done")</f>
        <v>Done</v>
      </c>
      <c r="H85" s="37" t="s">
        <v>26</v>
      </c>
      <c r="I85" s="26"/>
      <c r="J85" s="26"/>
      <c r="K85" s="26"/>
      <c r="L85" s="26"/>
      <c r="M85" s="26"/>
      <c r="N85" s="26"/>
      <c r="O85" s="26"/>
      <c r="P85" s="26"/>
      <c r="Q85" s="26"/>
      <c r="R85" s="26"/>
      <c r="S85" s="26"/>
      <c r="T85" s="26"/>
      <c r="U85" s="26"/>
      <c r="V85" s="26"/>
      <c r="W85" s="26"/>
      <c r="X85" s="26"/>
      <c r="Y85" s="26"/>
      <c r="Z85" s="26"/>
    </row>
    <row r="86" ht="15.75" customHeight="1">
      <c r="A86" s="57">
        <v>15.0</v>
      </c>
      <c r="B86" s="49" t="str">
        <f>IFERROR(__xludf.DUMMYFUNCTION("AI(""Fill an appropriate value for this cell based on the table context"")"),"Team4")</f>
        <v>Team4</v>
      </c>
      <c r="C86" s="58" t="s">
        <v>109</v>
      </c>
      <c r="D86" s="58" t="s">
        <v>63</v>
      </c>
      <c r="E86" s="60" t="s">
        <v>26</v>
      </c>
      <c r="F86" s="23" t="str">
        <f>IFERROR(__xludf.DUMMYFUNCTION("AI(""Fill an appropriate value for this cell based on the table context"")"),"5")</f>
        <v>5</v>
      </c>
      <c r="G86" s="23" t="str">
        <f>IFERROR(__xludf.DUMMYFUNCTION("AI(""Fill an appropriate value for this cell based on the table context"")"),"Done")</f>
        <v>Done</v>
      </c>
      <c r="H86" s="37" t="s">
        <v>85</v>
      </c>
      <c r="I86" s="26"/>
      <c r="J86" s="26"/>
      <c r="K86" s="26"/>
      <c r="L86" s="26"/>
      <c r="M86" s="26"/>
      <c r="N86" s="26"/>
      <c r="O86" s="26"/>
      <c r="P86" s="26"/>
      <c r="Q86" s="26"/>
      <c r="R86" s="26"/>
      <c r="S86" s="26"/>
      <c r="T86" s="26"/>
      <c r="U86" s="26"/>
      <c r="V86" s="26"/>
      <c r="W86" s="26"/>
      <c r="X86" s="26"/>
      <c r="Y86" s="26"/>
      <c r="Z86" s="26"/>
    </row>
    <row r="87" ht="15.75" customHeight="1">
      <c r="A87" s="57">
        <v>15.0</v>
      </c>
      <c r="B87" s="49" t="str">
        <f>IFERROR(__xludf.DUMMYFUNCTION("AI(""Fill an appropriate value for this cell based on the table context"")"),"Team4")</f>
        <v>Team4</v>
      </c>
      <c r="C87" s="58" t="s">
        <v>109</v>
      </c>
      <c r="D87" s="58" t="s">
        <v>63</v>
      </c>
      <c r="E87" s="60" t="s">
        <v>27</v>
      </c>
      <c r="F87" s="23" t="str">
        <f>IFERROR(__xludf.DUMMYFUNCTION("AI(""Fill an appropriate value for this cell based on the table context"")"),"5")</f>
        <v>5</v>
      </c>
      <c r="G87" s="23" t="str">
        <f>IFERROR(__xludf.DUMMYFUNCTION("AI(""Fill an appropriate value for this cell based on the table context"")"),"Done")</f>
        <v>Done</v>
      </c>
      <c r="H87" s="37" t="s">
        <v>24</v>
      </c>
      <c r="I87" s="26"/>
      <c r="J87" s="26"/>
      <c r="K87" s="26"/>
      <c r="L87" s="26"/>
      <c r="M87" s="26"/>
      <c r="N87" s="26"/>
      <c r="O87" s="26"/>
      <c r="P87" s="26"/>
      <c r="Q87" s="26"/>
      <c r="R87" s="26"/>
      <c r="S87" s="26"/>
      <c r="T87" s="26"/>
      <c r="U87" s="26"/>
      <c r="V87" s="26"/>
      <c r="W87" s="26"/>
      <c r="X87" s="26"/>
      <c r="Y87" s="26"/>
      <c r="Z87" s="26"/>
    </row>
    <row r="88" ht="15.75" customHeight="1">
      <c r="A88" s="57">
        <v>15.0</v>
      </c>
      <c r="B88" s="49" t="str">
        <f>IFERROR(__xludf.DUMMYFUNCTION("AI(""Fill an appropriate value for this cell based on the table context"")"),"Team4")</f>
        <v>Team4</v>
      </c>
      <c r="C88" s="58" t="s">
        <v>109</v>
      </c>
      <c r="D88" s="58" t="s">
        <v>63</v>
      </c>
      <c r="E88" s="60" t="s">
        <v>22</v>
      </c>
      <c r="F88" s="23" t="str">
        <f>IFERROR(__xludf.DUMMYFUNCTION("AI(""Fill an appropriate value for this cell based on the table context"")"),"5")</f>
        <v>5</v>
      </c>
      <c r="G88" s="23" t="str">
        <f>IFERROR(__xludf.DUMMYFUNCTION("AI(""Fill an appropriate value for this cell based on the table context"")"),"Done")</f>
        <v>Done</v>
      </c>
      <c r="H88" s="37" t="s">
        <v>83</v>
      </c>
      <c r="I88" s="26"/>
      <c r="J88" s="26"/>
      <c r="K88" s="26"/>
      <c r="L88" s="26"/>
      <c r="M88" s="26"/>
      <c r="N88" s="26"/>
      <c r="O88" s="26"/>
      <c r="P88" s="26"/>
      <c r="Q88" s="26"/>
      <c r="R88" s="26"/>
      <c r="S88" s="26"/>
      <c r="T88" s="26"/>
      <c r="U88" s="26"/>
      <c r="V88" s="26"/>
      <c r="W88" s="26"/>
      <c r="X88" s="26"/>
      <c r="Y88" s="26"/>
      <c r="Z88" s="26"/>
    </row>
    <row r="89" ht="15.75" customHeight="1">
      <c r="A89" s="57">
        <v>15.0</v>
      </c>
      <c r="B89" s="49" t="str">
        <f>IFERROR(__xludf.DUMMYFUNCTION("AI(""Fill an appropriate value for this cell based on the table context"")"),"Team4")</f>
        <v>Team4</v>
      </c>
      <c r="C89" s="58" t="s">
        <v>109</v>
      </c>
      <c r="D89" s="58" t="s">
        <v>63</v>
      </c>
      <c r="E89" s="60" t="s">
        <v>25</v>
      </c>
      <c r="F89" s="23" t="str">
        <f>IFERROR(__xludf.DUMMYFUNCTION("AI(""Fill an appropriate value for this cell based on the table context"")"),"5")</f>
        <v>5</v>
      </c>
      <c r="G89" s="23" t="str">
        <f>IFERROR(__xludf.DUMMYFUNCTION("AI(""Fill an appropriate value for this cell based on the table context"")"),"Done")</f>
        <v>Done</v>
      </c>
      <c r="H89" s="37" t="s">
        <v>22</v>
      </c>
      <c r="I89" s="26"/>
      <c r="J89" s="26"/>
      <c r="K89" s="26"/>
      <c r="L89" s="26"/>
      <c r="M89" s="26"/>
      <c r="N89" s="26"/>
      <c r="O89" s="26"/>
      <c r="P89" s="26"/>
      <c r="Q89" s="26"/>
      <c r="R89" s="26"/>
      <c r="S89" s="26"/>
      <c r="T89" s="26"/>
      <c r="U89" s="26"/>
      <c r="V89" s="26"/>
      <c r="W89" s="26"/>
      <c r="X89" s="26"/>
      <c r="Y89" s="26"/>
      <c r="Z89" s="26"/>
    </row>
    <row r="90" ht="15.75" customHeight="1">
      <c r="A90" s="57">
        <v>15.0</v>
      </c>
      <c r="B90" s="49" t="str">
        <f>IFERROR(__xludf.DUMMYFUNCTION("AI(""Fill an appropriate value for this cell based on the table context"")"),"Team4")</f>
        <v>Team4</v>
      </c>
      <c r="C90" s="58" t="s">
        <v>109</v>
      </c>
      <c r="D90" s="58" t="s">
        <v>63</v>
      </c>
      <c r="E90" s="60" t="s">
        <v>83</v>
      </c>
      <c r="F90" s="23" t="str">
        <f>IFERROR(__xludf.DUMMYFUNCTION("AI(""Fill an appropriate value for this cell based on the table context"")"),"5")</f>
        <v>5</v>
      </c>
      <c r="G90" s="23" t="str">
        <f>IFERROR(__xludf.DUMMYFUNCTION("AI(""Fill an appropriate value for this cell based on the table context"")"),"Done")</f>
        <v>Done</v>
      </c>
      <c r="H90" s="37" t="s">
        <v>27</v>
      </c>
      <c r="I90" s="26"/>
      <c r="J90" s="26"/>
      <c r="K90" s="26"/>
      <c r="L90" s="26"/>
      <c r="M90" s="26"/>
      <c r="N90" s="26"/>
      <c r="O90" s="26"/>
      <c r="P90" s="26"/>
      <c r="Q90" s="26"/>
      <c r="R90" s="26"/>
      <c r="S90" s="26"/>
      <c r="T90" s="26"/>
      <c r="U90" s="26"/>
      <c r="V90" s="26"/>
      <c r="W90" s="26"/>
      <c r="X90" s="26"/>
      <c r="Y90" s="26"/>
      <c r="Z90" s="26"/>
    </row>
    <row r="91" ht="15.75" customHeight="1">
      <c r="A91" s="64">
        <v>15.0</v>
      </c>
      <c r="B91" s="62" t="str">
        <f>IFERROR(__xludf.DUMMYFUNCTION("AI(""Fill an appropriate value for this cell based on the table context"")"),"Team4")</f>
        <v>Team4</v>
      </c>
      <c r="C91" s="65" t="s">
        <v>109</v>
      </c>
      <c r="D91" s="65" t="s">
        <v>63</v>
      </c>
      <c r="E91" s="60" t="s">
        <v>24</v>
      </c>
      <c r="F91" s="63" t="str">
        <f>IFERROR(__xludf.DUMMYFUNCTION("AI(""Fill an appropriate value for this cell based on the table context"")"),"5")</f>
        <v>5</v>
      </c>
      <c r="G91" s="63" t="str">
        <f>IFERROR(__xludf.DUMMYFUNCTION("AI(""Fill an appropriate value for this cell based on the table context"")"),"Done")</f>
        <v>Done</v>
      </c>
      <c r="H91" s="37" t="s">
        <v>26</v>
      </c>
      <c r="I91" s="26"/>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5.75" customHeight="1">
      <c r="A93" s="64">
        <v>16.0</v>
      </c>
      <c r="B93" s="62" t="str">
        <f>IFERROR(__xludf.DUMMYFUNCTION("AI(""Fill an appropriate value for this cell based on the table context"")"),"Team4")</f>
        <v>Team4</v>
      </c>
      <c r="C93" s="65" t="s">
        <v>110</v>
      </c>
      <c r="D93" s="63" t="s">
        <v>63</v>
      </c>
      <c r="E93" s="60" t="s">
        <v>26</v>
      </c>
      <c r="F93" s="63" t="str">
        <f>IFERROR(__xludf.DUMMYFUNCTION("AI(""Fill an appropriate value for this cell based on the table context"")"),"=AI(""Fill an appropriate value for this cell based on the table context"")")</f>
        <v>=AI("Fill an appropriate value for this cell based on the table context")</v>
      </c>
      <c r="G93" s="63" t="str">
        <f>IFERROR(__xludf.DUMMYFUNCTION("AI(""Fill an appropriate value for this cell based on the table context"")"),"Done")</f>
        <v>Done</v>
      </c>
      <c r="H93" s="66" t="s">
        <v>85</v>
      </c>
      <c r="I93" s="26"/>
      <c r="J93" s="26"/>
      <c r="K93" s="26"/>
      <c r="L93" s="26"/>
      <c r="M93" s="26"/>
      <c r="N93" s="26"/>
      <c r="O93" s="26"/>
      <c r="P93" s="26"/>
      <c r="Q93" s="26"/>
      <c r="R93" s="26"/>
      <c r="S93" s="26"/>
      <c r="T93" s="26"/>
      <c r="U93" s="26"/>
      <c r="V93" s="26"/>
      <c r="W93" s="26"/>
      <c r="X93" s="26"/>
      <c r="Y93" s="26"/>
      <c r="Z93" s="26"/>
    </row>
    <row r="94" ht="15.75" customHeight="1">
      <c r="A94" s="64">
        <v>16.0</v>
      </c>
      <c r="B94" s="62" t="str">
        <f>IFERROR(__xludf.DUMMYFUNCTION("AI(""Fill an appropriate value for this cell based on the table context"")"),"Team4")</f>
        <v>Team4</v>
      </c>
      <c r="C94" s="65" t="s">
        <v>110</v>
      </c>
      <c r="D94" s="63" t="s">
        <v>63</v>
      </c>
      <c r="E94" s="60" t="s">
        <v>27</v>
      </c>
      <c r="F94" s="63" t="str">
        <f>IFERROR(__xludf.DUMMYFUNCTION("AI(""Fill an appropriate value for this cell based on the table context"")"),"=AI(""Fill an appropriate value for this cell based on the table context"")")</f>
        <v>=AI("Fill an appropriate value for this cell based on the table context")</v>
      </c>
      <c r="G94" s="63" t="str">
        <f>IFERROR(__xludf.DUMMYFUNCTION("AI(""Fill an appropriate value for this cell based on the table context"")"),"Done")</f>
        <v>Done</v>
      </c>
      <c r="H94" s="66" t="s">
        <v>24</v>
      </c>
      <c r="I94" s="26"/>
      <c r="J94" s="26"/>
      <c r="K94" s="26"/>
      <c r="L94" s="26"/>
      <c r="M94" s="26"/>
      <c r="N94" s="26"/>
      <c r="O94" s="26"/>
      <c r="P94" s="26"/>
      <c r="Q94" s="26"/>
      <c r="R94" s="26"/>
      <c r="S94" s="26"/>
      <c r="T94" s="26"/>
      <c r="U94" s="26"/>
      <c r="V94" s="26"/>
      <c r="W94" s="26"/>
      <c r="X94" s="26"/>
      <c r="Y94" s="26"/>
      <c r="Z94" s="26"/>
    </row>
    <row r="95" ht="15.75" customHeight="1">
      <c r="A95" s="64">
        <v>16.0</v>
      </c>
      <c r="B95" s="62" t="str">
        <f>IFERROR(__xludf.DUMMYFUNCTION("AI(""Fill an appropriate value for this cell based on the table context"")"),"Team4")</f>
        <v>Team4</v>
      </c>
      <c r="C95" s="65" t="s">
        <v>110</v>
      </c>
      <c r="D95" s="63" t="s">
        <v>63</v>
      </c>
      <c r="E95" s="60" t="s">
        <v>22</v>
      </c>
      <c r="F95" s="63" t="str">
        <f>IFERROR(__xludf.DUMMYFUNCTION("AI(""Fill an appropriate value for this cell based on the table context"")"),"=AI(""Fill an appropriate value for this cell based on the table context"")")</f>
        <v>=AI("Fill an appropriate value for this cell based on the table context")</v>
      </c>
      <c r="G95" s="63" t="str">
        <f>IFERROR(__xludf.DUMMYFUNCTION("AI(""Fill an appropriate value for this cell based on the table context"")"),"=AI(""Fill an appropriate value for this cell based on the table context"")")</f>
        <v>=AI("Fill an appropriate value for this cell based on the table context")</v>
      </c>
      <c r="H95" s="66" t="s">
        <v>83</v>
      </c>
      <c r="I95" s="26"/>
      <c r="J95" s="26"/>
      <c r="K95" s="26"/>
      <c r="L95" s="26"/>
      <c r="M95" s="26"/>
      <c r="N95" s="26"/>
      <c r="O95" s="26"/>
      <c r="P95" s="26"/>
      <c r="Q95" s="26"/>
      <c r="R95" s="26"/>
      <c r="S95" s="26"/>
      <c r="T95" s="26"/>
      <c r="U95" s="26"/>
      <c r="V95" s="26"/>
      <c r="W95" s="26"/>
      <c r="X95" s="26"/>
      <c r="Y95" s="26"/>
      <c r="Z95" s="26"/>
    </row>
    <row r="96" ht="15.75" customHeight="1">
      <c r="A96" s="64">
        <v>16.0</v>
      </c>
      <c r="B96" s="62" t="str">
        <f>IFERROR(__xludf.DUMMYFUNCTION("AI(""Fill an appropriate value for this cell based on the table context"")"),"Team4")</f>
        <v>Team4</v>
      </c>
      <c r="C96" s="65" t="s">
        <v>110</v>
      </c>
      <c r="D96" s="63" t="s">
        <v>63</v>
      </c>
      <c r="E96" s="60" t="s">
        <v>25</v>
      </c>
      <c r="F96" s="63" t="str">
        <f>IFERROR(__xludf.DUMMYFUNCTION("AI(""Fill an appropriate value for this cell based on the table context"")"),"=AI(""Fill an appropriate value for this cell based on the table context"")")</f>
        <v>=AI("Fill an appropriate value for this cell based on the table context")</v>
      </c>
      <c r="G96" s="63" t="str">
        <f>IFERROR(__xludf.DUMMYFUNCTION("AI(""Fill an appropriate value for this cell based on the table context"")"),"=AI(""Fill an appropriate value for this cell based on the table context"")")</f>
        <v>=AI("Fill an appropriate value for this cell based on the table context")</v>
      </c>
      <c r="H96" s="66" t="s">
        <v>22</v>
      </c>
      <c r="I96" s="26"/>
      <c r="J96" s="26"/>
      <c r="K96" s="26"/>
      <c r="L96" s="26"/>
      <c r="M96" s="26"/>
      <c r="N96" s="26"/>
      <c r="O96" s="26"/>
      <c r="P96" s="26"/>
      <c r="Q96" s="26"/>
      <c r="R96" s="26"/>
      <c r="S96" s="26"/>
      <c r="T96" s="26"/>
      <c r="U96" s="26"/>
      <c r="V96" s="26"/>
      <c r="W96" s="26"/>
      <c r="X96" s="26"/>
      <c r="Y96" s="26"/>
      <c r="Z96" s="26"/>
    </row>
    <row r="97" ht="15.75" customHeight="1">
      <c r="A97" s="64">
        <v>16.0</v>
      </c>
      <c r="B97" s="62" t="str">
        <f>IFERROR(__xludf.DUMMYFUNCTION("AI(""Fill an appropriate value for this cell based on the table context"")"),"Team4")</f>
        <v>Team4</v>
      </c>
      <c r="C97" s="65" t="s">
        <v>110</v>
      </c>
      <c r="D97" s="63" t="s">
        <v>63</v>
      </c>
      <c r="E97" s="60" t="s">
        <v>83</v>
      </c>
      <c r="F97" s="63" t="str">
        <f>IFERROR(__xludf.DUMMYFUNCTION("AI(""Fill an appropriate value for this cell based on the table context"")"),"=AI(""Fill an appropriate value for this cell based on the table context"")")</f>
        <v>=AI("Fill an appropriate value for this cell based on the table context")</v>
      </c>
      <c r="G97" s="63" t="str">
        <f>IFERROR(__xludf.DUMMYFUNCTION("AI(""Fill an appropriate value for this cell based on the table context"")"),"=AI(""Fill an appropriate value for this cell based on the table context"")")</f>
        <v>=AI("Fill an appropriate value for this cell based on the table context")</v>
      </c>
      <c r="H97" s="66" t="s">
        <v>27</v>
      </c>
      <c r="I97" s="26"/>
      <c r="J97" s="26"/>
      <c r="K97" s="26"/>
      <c r="L97" s="26"/>
      <c r="M97" s="26"/>
      <c r="N97" s="26"/>
      <c r="O97" s="26"/>
      <c r="P97" s="26"/>
      <c r="Q97" s="26"/>
      <c r="R97" s="26"/>
      <c r="S97" s="26"/>
      <c r="T97" s="26"/>
      <c r="U97" s="26"/>
      <c r="V97" s="26"/>
      <c r="W97" s="26"/>
      <c r="X97" s="26"/>
      <c r="Y97" s="26"/>
      <c r="Z97" s="26"/>
    </row>
    <row r="98" ht="15.75" customHeight="1">
      <c r="A98" s="64">
        <v>16.0</v>
      </c>
      <c r="B98" s="62" t="str">
        <f>IFERROR(__xludf.DUMMYFUNCTION("AI(""Fill an appropriate value for this cell based on the table context"")"),"Team4")</f>
        <v>Team4</v>
      </c>
      <c r="C98" s="65" t="s">
        <v>110</v>
      </c>
      <c r="D98" s="63" t="s">
        <v>63</v>
      </c>
      <c r="E98" s="60" t="s">
        <v>24</v>
      </c>
      <c r="F98" s="63" t="str">
        <f>IFERROR(__xludf.DUMMYFUNCTION("AI(""Fill an appropriate value for this cell based on the table context"")"),"=AI(""Fill an appropriate value for this cell based on the table context"")")</f>
        <v>=AI("Fill an appropriate value for this cell based on the table context")</v>
      </c>
      <c r="G98" s="63" t="str">
        <f>IFERROR(__xludf.DUMMYFUNCTION("AI(""Fill an appropriate value for this cell based on the table context"")"),"=AI(""Fill an appropriate value for this cell based on the table context"")")</f>
        <v>=AI("Fill an appropriate value for this cell based on the table context")</v>
      </c>
      <c r="H98" s="66" t="s">
        <v>26</v>
      </c>
      <c r="I98" s="26"/>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5.75" customHeight="1">
      <c r="A100" s="64">
        <v>17.0</v>
      </c>
      <c r="B100" s="62" t="str">
        <f>IFERROR(__xludf.DUMMYFUNCTION("AI(""Fill an appropriate value for this cell based on the table context"")"),"Team4")</f>
        <v>Team4</v>
      </c>
      <c r="C100" s="65" t="s">
        <v>111</v>
      </c>
      <c r="D100" s="63" t="s">
        <v>63</v>
      </c>
      <c r="E100" s="60" t="s">
        <v>26</v>
      </c>
      <c r="F100" s="63" t="str">
        <f>IFERROR(__xludf.DUMMYFUNCTION("AI(""Fill an appropriate value for this cell based on the table context"")"),"=AI(""Fill an appropriate value for this cell based on the table context"")")</f>
        <v>=AI("Fill an appropriate value for this cell based on the table context")</v>
      </c>
      <c r="G100" s="63" t="str">
        <f>IFERROR(__xludf.DUMMYFUNCTION("AI(""Fill an appropriate value for this cell based on the table context"")"),"=AI(""Fill an appropriate value for this cell based on the table context"")")</f>
        <v>=AI("Fill an appropriate value for this cell based on the table context")</v>
      </c>
      <c r="H100" s="66" t="s">
        <v>85</v>
      </c>
      <c r="I100" s="26"/>
      <c r="J100" s="26"/>
      <c r="K100" s="26"/>
      <c r="L100" s="26"/>
      <c r="M100" s="26"/>
      <c r="N100" s="26"/>
      <c r="O100" s="26"/>
      <c r="P100" s="26"/>
      <c r="Q100" s="26"/>
      <c r="R100" s="26"/>
      <c r="S100" s="26"/>
      <c r="T100" s="26"/>
      <c r="U100" s="26"/>
      <c r="V100" s="26"/>
      <c r="W100" s="26"/>
      <c r="X100" s="26"/>
      <c r="Y100" s="26"/>
      <c r="Z100" s="26"/>
    </row>
    <row r="101" ht="15.75" customHeight="1">
      <c r="A101" s="64">
        <v>17.0</v>
      </c>
      <c r="B101" s="62" t="str">
        <f>IFERROR(__xludf.DUMMYFUNCTION("AI(""Fill an appropriate value for this cell based on the table context"")"),"Team4")</f>
        <v>Team4</v>
      </c>
      <c r="C101" s="65" t="s">
        <v>111</v>
      </c>
      <c r="D101" s="63" t="s">
        <v>63</v>
      </c>
      <c r="E101" s="60" t="s">
        <v>27</v>
      </c>
      <c r="F101" s="63" t="str">
        <f>IFERROR(__xludf.DUMMYFUNCTION("AI(""Fill an appropriate value for this cell based on the table context"")"),"=AI(""Fill an appropriate value for this cell based on the table context"")")</f>
        <v>=AI("Fill an appropriate value for this cell based on the table context")</v>
      </c>
      <c r="G101" s="63" t="str">
        <f>IFERROR(__xludf.DUMMYFUNCTION("AI(""Fill an appropriate value for this cell based on the table context"")"),"=AI(""Fill an appropriate value for this cell based on the table context"")")</f>
        <v>=AI("Fill an appropriate value for this cell based on the table context")</v>
      </c>
      <c r="H101" s="66" t="s">
        <v>24</v>
      </c>
      <c r="I101" s="26"/>
      <c r="J101" s="26"/>
      <c r="K101" s="26"/>
      <c r="L101" s="26"/>
      <c r="M101" s="26"/>
      <c r="N101" s="26"/>
      <c r="O101" s="26"/>
      <c r="P101" s="26"/>
      <c r="Q101" s="26"/>
      <c r="R101" s="26"/>
      <c r="S101" s="26"/>
      <c r="T101" s="26"/>
      <c r="U101" s="26"/>
      <c r="V101" s="26"/>
      <c r="W101" s="26"/>
      <c r="X101" s="26"/>
      <c r="Y101" s="26"/>
      <c r="Z101" s="26"/>
    </row>
    <row r="102" ht="15.75" customHeight="1">
      <c r="A102" s="64">
        <v>17.0</v>
      </c>
      <c r="B102" s="62" t="str">
        <f>IFERROR(__xludf.DUMMYFUNCTION("AI(""Fill an appropriate value for this cell based on the table context"")"),"Team4")</f>
        <v>Team4</v>
      </c>
      <c r="C102" s="65" t="s">
        <v>111</v>
      </c>
      <c r="D102" s="63" t="s">
        <v>63</v>
      </c>
      <c r="E102" s="60" t="s">
        <v>22</v>
      </c>
      <c r="F102" s="63" t="str">
        <f>IFERROR(__xludf.DUMMYFUNCTION("AI(""Fill an appropriate value for this cell based on the table context"")"),"=AI(""Fill an appropriate value for this cell based on the table context"")")</f>
        <v>=AI("Fill an appropriate value for this cell based on the table context")</v>
      </c>
      <c r="G102" s="63" t="str">
        <f>IFERROR(__xludf.DUMMYFUNCTION("AI(""Fill an appropriate value for this cell based on the table context"")"),"=AI(""Fill an appropriate value for this cell based on the table context"")")</f>
        <v>=AI("Fill an appropriate value for this cell based on the table context")</v>
      </c>
      <c r="H102" s="66" t="s">
        <v>83</v>
      </c>
      <c r="I102" s="26"/>
      <c r="J102" s="26"/>
      <c r="K102" s="26"/>
      <c r="L102" s="26"/>
      <c r="M102" s="26"/>
      <c r="N102" s="26"/>
      <c r="O102" s="26"/>
      <c r="P102" s="26"/>
      <c r="Q102" s="26"/>
      <c r="R102" s="26"/>
      <c r="S102" s="26"/>
      <c r="T102" s="26"/>
      <c r="U102" s="26"/>
      <c r="V102" s="26"/>
      <c r="W102" s="26"/>
      <c r="X102" s="26"/>
      <c r="Y102" s="26"/>
      <c r="Z102" s="26"/>
    </row>
    <row r="103" ht="15.75" customHeight="1">
      <c r="A103" s="64">
        <v>17.0</v>
      </c>
      <c r="B103" s="62" t="str">
        <f>IFERROR(__xludf.DUMMYFUNCTION("AI(""Fill an appropriate value for this cell based on the table context"")"),"Team4")</f>
        <v>Team4</v>
      </c>
      <c r="C103" s="65" t="s">
        <v>111</v>
      </c>
      <c r="D103" s="63" t="s">
        <v>63</v>
      </c>
      <c r="E103" s="60" t="s">
        <v>25</v>
      </c>
      <c r="F103" s="63" t="str">
        <f>IFERROR(__xludf.DUMMYFUNCTION("AI(""Fill an appropriate value for this cell based on the table context"")"),"=AI(""Fill an appropriate value for this cell based on the table context"")")</f>
        <v>=AI("Fill an appropriate value for this cell based on the table context")</v>
      </c>
      <c r="G103" s="63" t="str">
        <f>IFERROR(__xludf.DUMMYFUNCTION("AI(""Fill an appropriate value for this cell based on the table context"")"),"=AI(""Fill an appropriate value for this cell based on the table context"")")</f>
        <v>=AI("Fill an appropriate value for this cell based on the table context")</v>
      </c>
      <c r="H103" s="66" t="s">
        <v>22</v>
      </c>
      <c r="I103" s="26"/>
      <c r="J103" s="26"/>
      <c r="K103" s="26"/>
      <c r="L103" s="26"/>
      <c r="M103" s="26"/>
      <c r="N103" s="26"/>
      <c r="O103" s="26"/>
      <c r="P103" s="26"/>
      <c r="Q103" s="26"/>
      <c r="R103" s="26"/>
      <c r="S103" s="26"/>
      <c r="T103" s="26"/>
      <c r="U103" s="26"/>
      <c r="V103" s="26"/>
      <c r="W103" s="26"/>
      <c r="X103" s="26"/>
      <c r="Y103" s="26"/>
      <c r="Z103" s="26"/>
    </row>
    <row r="104" ht="15.75" customHeight="1">
      <c r="A104" s="64">
        <v>17.0</v>
      </c>
      <c r="B104" s="62" t="str">
        <f>IFERROR(__xludf.DUMMYFUNCTION("AI(""Fill an appropriate value for this cell based on the table context"")"),"Team4")</f>
        <v>Team4</v>
      </c>
      <c r="C104" s="65" t="s">
        <v>111</v>
      </c>
      <c r="D104" s="63" t="s">
        <v>63</v>
      </c>
      <c r="E104" s="60" t="s">
        <v>83</v>
      </c>
      <c r="F104" s="63" t="str">
        <f>IFERROR(__xludf.DUMMYFUNCTION("AI(""Fill an appropriate value for this cell based on the table context"")"),"=AI(""Fill an appropriate value for this cell based on the table context"")")</f>
        <v>=AI("Fill an appropriate value for this cell based on the table context")</v>
      </c>
      <c r="G104" s="63" t="str">
        <f>IFERROR(__xludf.DUMMYFUNCTION("AI(""Fill an appropriate value for this cell based on the table context"")"),"=AI(""Fill an appropriate value for this cell based on the table context"")")</f>
        <v>=AI("Fill an appropriate value for this cell based on the table context")</v>
      </c>
      <c r="H104" s="66" t="s">
        <v>27</v>
      </c>
      <c r="I104" s="26"/>
      <c r="J104" s="26"/>
      <c r="K104" s="26"/>
      <c r="L104" s="26"/>
      <c r="M104" s="26"/>
      <c r="N104" s="26"/>
      <c r="O104" s="26"/>
      <c r="P104" s="26"/>
      <c r="Q104" s="26"/>
      <c r="R104" s="26"/>
      <c r="S104" s="26"/>
      <c r="T104" s="26"/>
      <c r="U104" s="26"/>
      <c r="V104" s="26"/>
      <c r="W104" s="26"/>
      <c r="X104" s="26"/>
      <c r="Y104" s="26"/>
      <c r="Z104" s="26"/>
    </row>
    <row r="105" ht="15.75" customHeight="1">
      <c r="A105" s="64">
        <v>17.0</v>
      </c>
      <c r="B105" s="62" t="str">
        <f>IFERROR(__xludf.DUMMYFUNCTION("AI(""Fill an appropriate value for this cell based on the table context"")"),"Team4")</f>
        <v>Team4</v>
      </c>
      <c r="C105" s="65" t="s">
        <v>111</v>
      </c>
      <c r="D105" s="63" t="s">
        <v>63</v>
      </c>
      <c r="E105" s="60" t="s">
        <v>24</v>
      </c>
      <c r="F105" s="63" t="str">
        <f>IFERROR(__xludf.DUMMYFUNCTION("AI(""Fill an appropriate value for this cell based on the table context"")"),"=AI(""Fill an appropriate value for this cell based on the table context"")")</f>
        <v>=AI("Fill an appropriate value for this cell based on the table context")</v>
      </c>
      <c r="G105" s="63" t="str">
        <f>IFERROR(__xludf.DUMMYFUNCTION("AI(""Fill an appropriate value for this cell based on the table context"")"),"=AI(""Fill an appropriate value for this cell based on the table context"")")</f>
        <v>=AI("Fill an appropriate value for this cell based on the table context")</v>
      </c>
      <c r="H105" s="66" t="s">
        <v>26</v>
      </c>
      <c r="I105" s="26"/>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64">
        <v>18.0</v>
      </c>
      <c r="B107" s="62" t="str">
        <f>IFERROR(__xludf.DUMMYFUNCTION("AI(""Fill an appropriate value for this cell based on the table context"")"),"Team4")</f>
        <v>Team4</v>
      </c>
      <c r="C107" s="65" t="s">
        <v>112</v>
      </c>
      <c r="D107" s="63" t="s">
        <v>63</v>
      </c>
      <c r="E107" s="60" t="s">
        <v>26</v>
      </c>
      <c r="F107" s="63" t="str">
        <f>IFERROR(__xludf.DUMMYFUNCTION("AI(""Fill an appropriate value for this cell based on the table context"")"),"=AI(""Fill an appropriate value for this cell based on the table context"")")</f>
        <v>=AI("Fill an appropriate value for this cell based on the table context")</v>
      </c>
      <c r="G107" s="63" t="str">
        <f>IFERROR(__xludf.DUMMYFUNCTION("AI(""Fill an appropriate value for this cell based on the table context"")"),"=AI(""Fill an appropriate value for this cell based on the table context"")")</f>
        <v>=AI("Fill an appropriate value for this cell based on the table context")</v>
      </c>
      <c r="H107" s="66" t="s">
        <v>85</v>
      </c>
      <c r="I107" s="26"/>
      <c r="J107" s="26"/>
      <c r="K107" s="26"/>
      <c r="L107" s="26"/>
      <c r="M107" s="26"/>
      <c r="N107" s="26"/>
      <c r="O107" s="26"/>
      <c r="P107" s="26"/>
      <c r="Q107" s="26"/>
      <c r="R107" s="26"/>
      <c r="S107" s="26"/>
      <c r="T107" s="26"/>
      <c r="U107" s="26"/>
      <c r="V107" s="26"/>
      <c r="W107" s="26"/>
      <c r="X107" s="26"/>
      <c r="Y107" s="26"/>
      <c r="Z107" s="26"/>
    </row>
    <row r="108" ht="15.75" customHeight="1">
      <c r="A108" s="64">
        <v>18.0</v>
      </c>
      <c r="B108" s="62" t="str">
        <f>IFERROR(__xludf.DUMMYFUNCTION("AI(""Fill an appropriate value for this cell based on the table context"")"),"Team4")</f>
        <v>Team4</v>
      </c>
      <c r="C108" s="65" t="s">
        <v>112</v>
      </c>
      <c r="D108" s="63" t="s">
        <v>63</v>
      </c>
      <c r="E108" s="60" t="s">
        <v>27</v>
      </c>
      <c r="F108" s="63" t="str">
        <f>IFERROR(__xludf.DUMMYFUNCTION("AI(""Fill an appropriate value for this cell based on the table context"")"),"=AI(""Fill an appropriate value for this cell based on the table context"")")</f>
        <v>=AI("Fill an appropriate value for this cell based on the table context")</v>
      </c>
      <c r="G108" s="63" t="str">
        <f>IFERROR(__xludf.DUMMYFUNCTION("AI(""Fill an appropriate value for this cell based on the table context"")"),"=AI(""Fill an appropriate value for this cell based on the table context"")")</f>
        <v>=AI("Fill an appropriate value for this cell based on the table context")</v>
      </c>
      <c r="H108" s="66" t="s">
        <v>24</v>
      </c>
      <c r="I108" s="26"/>
      <c r="J108" s="26"/>
      <c r="K108" s="26"/>
      <c r="L108" s="26"/>
      <c r="M108" s="26"/>
      <c r="N108" s="26"/>
      <c r="O108" s="26"/>
      <c r="P108" s="26"/>
      <c r="Q108" s="26"/>
      <c r="R108" s="26"/>
      <c r="S108" s="26"/>
      <c r="T108" s="26"/>
      <c r="U108" s="26"/>
      <c r="V108" s="26"/>
      <c r="W108" s="26"/>
      <c r="X108" s="26"/>
      <c r="Y108" s="26"/>
      <c r="Z108" s="26"/>
    </row>
    <row r="109" ht="15.75" customHeight="1">
      <c r="A109" s="64">
        <v>18.0</v>
      </c>
      <c r="B109" s="62" t="str">
        <f>IFERROR(__xludf.DUMMYFUNCTION("AI(""Fill an appropriate value for this cell based on the table context"")"),"Team4")</f>
        <v>Team4</v>
      </c>
      <c r="C109" s="65" t="s">
        <v>112</v>
      </c>
      <c r="D109" s="63" t="s">
        <v>63</v>
      </c>
      <c r="E109" s="60" t="s">
        <v>22</v>
      </c>
      <c r="F109" s="63" t="str">
        <f>IFERROR(__xludf.DUMMYFUNCTION("AI(""Fill an appropriate value for this cell based on the table context"")"),"=AI(""Fill an appropriate value for this cell based on the table context"")")</f>
        <v>=AI("Fill an appropriate value for this cell based on the table context")</v>
      </c>
      <c r="G109" s="63" t="str">
        <f>IFERROR(__xludf.DUMMYFUNCTION("AI(""Fill an appropriate value for this cell based on the table context"")"),"=AI(""Fill an appropriate value for this cell based on the table context"")")</f>
        <v>=AI("Fill an appropriate value for this cell based on the table context")</v>
      </c>
      <c r="H109" s="66" t="s">
        <v>83</v>
      </c>
      <c r="I109" s="26"/>
      <c r="J109" s="26"/>
      <c r="K109" s="26"/>
      <c r="L109" s="26"/>
      <c r="M109" s="26"/>
      <c r="N109" s="26"/>
      <c r="O109" s="26"/>
      <c r="P109" s="26"/>
      <c r="Q109" s="26"/>
      <c r="R109" s="26"/>
      <c r="S109" s="26"/>
      <c r="T109" s="26"/>
      <c r="U109" s="26"/>
      <c r="V109" s="26"/>
      <c r="W109" s="26"/>
      <c r="X109" s="26"/>
      <c r="Y109" s="26"/>
      <c r="Z109" s="26"/>
    </row>
    <row r="110" ht="15.75" customHeight="1">
      <c r="A110" s="64">
        <v>18.0</v>
      </c>
      <c r="B110" s="62" t="str">
        <f>IFERROR(__xludf.DUMMYFUNCTION("AI(""Fill an appropriate value for this cell based on the table context"")"),"Team4")</f>
        <v>Team4</v>
      </c>
      <c r="C110" s="65" t="s">
        <v>112</v>
      </c>
      <c r="D110" s="63" t="s">
        <v>63</v>
      </c>
      <c r="E110" s="60" t="s">
        <v>25</v>
      </c>
      <c r="F110" s="63" t="str">
        <f>IFERROR(__xludf.DUMMYFUNCTION("AI(""Fill an appropriate value for this cell based on the table context"")"),"=AI(""Fill an appropriate value for this cell based on the table context"")")</f>
        <v>=AI("Fill an appropriate value for this cell based on the table context")</v>
      </c>
      <c r="G110" s="63" t="str">
        <f>IFERROR(__xludf.DUMMYFUNCTION("AI(""Fill an appropriate value for this cell based on the table context"")"),"=AI(""Fill an appropriate value for this cell based on the table context"")")</f>
        <v>=AI("Fill an appropriate value for this cell based on the table context")</v>
      </c>
      <c r="H110" s="66" t="s">
        <v>22</v>
      </c>
      <c r="I110" s="26"/>
      <c r="J110" s="26"/>
      <c r="K110" s="26"/>
      <c r="L110" s="26"/>
      <c r="M110" s="26"/>
      <c r="N110" s="26"/>
      <c r="O110" s="26"/>
      <c r="P110" s="26"/>
      <c r="Q110" s="26"/>
      <c r="R110" s="26"/>
      <c r="S110" s="26"/>
      <c r="T110" s="26"/>
      <c r="U110" s="26"/>
      <c r="V110" s="26"/>
      <c r="W110" s="26"/>
      <c r="X110" s="26"/>
      <c r="Y110" s="26"/>
      <c r="Z110" s="26"/>
    </row>
    <row r="111" ht="15.75" customHeight="1">
      <c r="A111" s="64">
        <v>18.0</v>
      </c>
      <c r="B111" s="62" t="str">
        <f>IFERROR(__xludf.DUMMYFUNCTION("AI(""Fill an appropriate value for this cell based on the table context"")"),"Team4")</f>
        <v>Team4</v>
      </c>
      <c r="C111" s="65" t="s">
        <v>112</v>
      </c>
      <c r="D111" s="63" t="s">
        <v>63</v>
      </c>
      <c r="E111" s="60" t="s">
        <v>83</v>
      </c>
      <c r="F111" s="63" t="str">
        <f>IFERROR(__xludf.DUMMYFUNCTION("AI(""Fill an appropriate value for this cell based on the table context"")"),"=AI(""Fill an appropriate value for this cell based on the table context"")")</f>
        <v>=AI("Fill an appropriate value for this cell based on the table context")</v>
      </c>
      <c r="G111" s="63" t="str">
        <f>IFERROR(__xludf.DUMMYFUNCTION("AI(""Fill an appropriate value for this cell based on the table context"")"),"=AI(""Fill an appropriate value for this cell based on the table context"")")</f>
        <v>=AI("Fill an appropriate value for this cell based on the table context")</v>
      </c>
      <c r="H111" s="66" t="s">
        <v>27</v>
      </c>
      <c r="I111" s="26"/>
      <c r="J111" s="26"/>
      <c r="K111" s="26"/>
      <c r="L111" s="26"/>
      <c r="M111" s="26"/>
      <c r="N111" s="26"/>
      <c r="O111" s="26"/>
      <c r="P111" s="26"/>
      <c r="Q111" s="26"/>
      <c r="R111" s="26"/>
      <c r="S111" s="26"/>
      <c r="T111" s="26"/>
      <c r="U111" s="26"/>
      <c r="V111" s="26"/>
      <c r="W111" s="26"/>
      <c r="X111" s="26"/>
      <c r="Y111" s="26"/>
      <c r="Z111" s="26"/>
    </row>
    <row r="112" ht="15.75" customHeight="1">
      <c r="A112" s="64">
        <v>18.0</v>
      </c>
      <c r="B112" s="62" t="str">
        <f>IFERROR(__xludf.DUMMYFUNCTION("AI(""Fill an appropriate value for this cell based on the table context"")"),"Team4")</f>
        <v>Team4</v>
      </c>
      <c r="C112" s="65" t="s">
        <v>112</v>
      </c>
      <c r="D112" s="63" t="s">
        <v>63</v>
      </c>
      <c r="E112" s="60" t="s">
        <v>24</v>
      </c>
      <c r="F112" s="63" t="str">
        <f>IFERROR(__xludf.DUMMYFUNCTION("AI(""Fill an appropriate value for this cell based on the table context"")"),"=AI(""Fill an appropriate value for this cell based on the table context"")")</f>
        <v>=AI("Fill an appropriate value for this cell based on the table context")</v>
      </c>
      <c r="G112" s="63" t="str">
        <f>IFERROR(__xludf.DUMMYFUNCTION("AI(""Fill an appropriate value for this cell based on the table context"")"),"=AI(""Fill an appropriate value for this cell based on the table context"")")</f>
        <v>=AI("Fill an appropriate value for this cell based on the table context")</v>
      </c>
      <c r="H112" s="66" t="s">
        <v>26</v>
      </c>
      <c r="I112" s="26"/>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64">
        <v>19.0</v>
      </c>
      <c r="B114" s="62" t="str">
        <f>IFERROR(__xludf.DUMMYFUNCTION("AI(""Fill an appropriate value for this cell based on the table context"")"),"Team4")</f>
        <v>Team4</v>
      </c>
      <c r="C114" s="65" t="s">
        <v>113</v>
      </c>
      <c r="D114" s="63" t="s">
        <v>63</v>
      </c>
      <c r="E114" s="60" t="s">
        <v>26</v>
      </c>
      <c r="F114" s="63" t="str">
        <f>IFERROR(__xludf.DUMMYFUNCTION("AI(""Fill an appropriate value for this cell based on the table context"")"),"=AI(""Fill an appropriate value for this cell based on the table context"")")</f>
        <v>=AI("Fill an appropriate value for this cell based on the table context")</v>
      </c>
      <c r="G114" s="63" t="str">
        <f>IFERROR(__xludf.DUMMYFUNCTION("AI(""Fill an appropriate value for this cell based on the table context"")"),"=AI(""Fill an appropriate value for this cell based on the table context"")")</f>
        <v>=AI("Fill an appropriate value for this cell based on the table context")</v>
      </c>
      <c r="H114" s="66" t="s">
        <v>85</v>
      </c>
      <c r="I114" s="26"/>
      <c r="J114" s="26"/>
      <c r="K114" s="26"/>
      <c r="L114" s="26"/>
      <c r="M114" s="26"/>
      <c r="N114" s="26"/>
      <c r="O114" s="26"/>
      <c r="P114" s="26"/>
      <c r="Q114" s="26"/>
      <c r="R114" s="26"/>
      <c r="S114" s="26"/>
      <c r="T114" s="26"/>
      <c r="U114" s="26"/>
      <c r="V114" s="26"/>
      <c r="W114" s="26"/>
      <c r="X114" s="26"/>
      <c r="Y114" s="26"/>
      <c r="Z114" s="26"/>
    </row>
    <row r="115" ht="15.75" customHeight="1">
      <c r="A115" s="64">
        <v>19.0</v>
      </c>
      <c r="B115" s="62" t="str">
        <f>IFERROR(__xludf.DUMMYFUNCTION("AI(""Fill an appropriate value for this cell based on the table context"")"),"Team4")</f>
        <v>Team4</v>
      </c>
      <c r="C115" s="65" t="s">
        <v>113</v>
      </c>
      <c r="D115" s="63" t="s">
        <v>63</v>
      </c>
      <c r="E115" s="60" t="s">
        <v>27</v>
      </c>
      <c r="F115" s="63" t="str">
        <f>IFERROR(__xludf.DUMMYFUNCTION("AI(""Fill an appropriate value for this cell based on the table context"")"),"=AI(""Fill an appropriate value for this cell based on the table context"")")</f>
        <v>=AI("Fill an appropriate value for this cell based on the table context")</v>
      </c>
      <c r="G115" s="63" t="str">
        <f>IFERROR(__xludf.DUMMYFUNCTION("AI(""Fill an appropriate value for this cell based on the table context"")"),"=AI(""Fill an appropriate value for this cell based on the table context"")")</f>
        <v>=AI("Fill an appropriate value for this cell based on the table context")</v>
      </c>
      <c r="H115" s="66" t="s">
        <v>24</v>
      </c>
      <c r="I115" s="26"/>
      <c r="J115" s="26"/>
      <c r="K115" s="26"/>
      <c r="L115" s="26"/>
      <c r="M115" s="26"/>
      <c r="N115" s="26"/>
      <c r="O115" s="26"/>
      <c r="P115" s="26"/>
      <c r="Q115" s="26"/>
      <c r="R115" s="26"/>
      <c r="S115" s="26"/>
      <c r="T115" s="26"/>
      <c r="U115" s="26"/>
      <c r="V115" s="26"/>
      <c r="W115" s="26"/>
      <c r="X115" s="26"/>
      <c r="Y115" s="26"/>
      <c r="Z115" s="26"/>
    </row>
    <row r="116" ht="15.75" customHeight="1">
      <c r="A116" s="64">
        <v>19.0</v>
      </c>
      <c r="B116" s="62" t="str">
        <f>IFERROR(__xludf.DUMMYFUNCTION("AI(""Fill an appropriate value for this cell based on the table context"")"),"Team4")</f>
        <v>Team4</v>
      </c>
      <c r="C116" s="65" t="s">
        <v>113</v>
      </c>
      <c r="D116" s="63" t="s">
        <v>63</v>
      </c>
      <c r="E116" s="60" t="s">
        <v>22</v>
      </c>
      <c r="F116" s="63" t="str">
        <f>IFERROR(__xludf.DUMMYFUNCTION("AI(""Fill an appropriate value for this cell based on the table context"")"),"=AI(""Fill an appropriate value for this cell based on the table context"")")</f>
        <v>=AI("Fill an appropriate value for this cell based on the table context")</v>
      </c>
      <c r="G116" s="63" t="str">
        <f>IFERROR(__xludf.DUMMYFUNCTION("AI(""Fill an appropriate value for this cell based on the table context"")"),"=AI(""Fill an appropriate value for this cell based on the table context"")")</f>
        <v>=AI("Fill an appropriate value for this cell based on the table context")</v>
      </c>
      <c r="H116" s="66" t="s">
        <v>83</v>
      </c>
      <c r="I116" s="26"/>
      <c r="J116" s="26"/>
      <c r="K116" s="26"/>
      <c r="L116" s="26"/>
      <c r="M116" s="26"/>
      <c r="N116" s="26"/>
      <c r="O116" s="26"/>
      <c r="P116" s="26"/>
      <c r="Q116" s="26"/>
      <c r="R116" s="26"/>
      <c r="S116" s="26"/>
      <c r="T116" s="26"/>
      <c r="U116" s="26"/>
      <c r="V116" s="26"/>
      <c r="W116" s="26"/>
      <c r="X116" s="26"/>
      <c r="Y116" s="26"/>
      <c r="Z116" s="26"/>
    </row>
    <row r="117" ht="15.75" customHeight="1">
      <c r="A117" s="64">
        <v>19.0</v>
      </c>
      <c r="B117" s="62" t="str">
        <f>IFERROR(__xludf.DUMMYFUNCTION("AI(""Fill an appropriate value for this cell based on the table context"")"),"Team4")</f>
        <v>Team4</v>
      </c>
      <c r="C117" s="65" t="s">
        <v>113</v>
      </c>
      <c r="D117" s="63" t="s">
        <v>63</v>
      </c>
      <c r="E117" s="60" t="s">
        <v>25</v>
      </c>
      <c r="F117" s="63" t="str">
        <f>IFERROR(__xludf.DUMMYFUNCTION("AI(""Fill an appropriate value for this cell based on the table context"")"),"=AI(""Fill an appropriate value for this cell based on the table context"")")</f>
        <v>=AI("Fill an appropriate value for this cell based on the table context")</v>
      </c>
      <c r="G117" s="63" t="str">
        <f>IFERROR(__xludf.DUMMYFUNCTION("AI(""Fill an appropriate value for this cell based on the table context"")"),"=AI(""Fill an appropriate value for this cell based on the table context"")")</f>
        <v>=AI("Fill an appropriate value for this cell based on the table context")</v>
      </c>
      <c r="H117" s="66" t="s">
        <v>22</v>
      </c>
      <c r="I117" s="26"/>
      <c r="J117" s="26"/>
      <c r="K117" s="26"/>
      <c r="L117" s="26"/>
      <c r="M117" s="26"/>
      <c r="N117" s="26"/>
      <c r="O117" s="26"/>
      <c r="P117" s="26"/>
      <c r="Q117" s="26"/>
      <c r="R117" s="26"/>
      <c r="S117" s="26"/>
      <c r="T117" s="26"/>
      <c r="U117" s="26"/>
      <c r="V117" s="26"/>
      <c r="W117" s="26"/>
      <c r="X117" s="26"/>
      <c r="Y117" s="26"/>
      <c r="Z117" s="26"/>
    </row>
    <row r="118" ht="15.75" customHeight="1">
      <c r="A118" s="64">
        <v>19.0</v>
      </c>
      <c r="B118" s="62" t="str">
        <f>IFERROR(__xludf.DUMMYFUNCTION("AI(""Fill an appropriate value for this cell based on the table context"")"),"Team4")</f>
        <v>Team4</v>
      </c>
      <c r="C118" s="65" t="s">
        <v>113</v>
      </c>
      <c r="D118" s="63" t="s">
        <v>63</v>
      </c>
      <c r="E118" s="60" t="s">
        <v>83</v>
      </c>
      <c r="F118" s="63" t="str">
        <f>IFERROR(__xludf.DUMMYFUNCTION("AI(""Fill an appropriate value for this cell based on the table context"")"),"=AI(""Fill an appropriate value for this cell based on the table context"")")</f>
        <v>=AI("Fill an appropriate value for this cell based on the table context")</v>
      </c>
      <c r="G118" s="63" t="str">
        <f>IFERROR(__xludf.DUMMYFUNCTION("AI(""Fill an appropriate value for this cell based on the table context"")"),"=AI(""Fill an appropriate value for this cell based on the table context"")")</f>
        <v>=AI("Fill an appropriate value for this cell based on the table context")</v>
      </c>
      <c r="H118" s="66" t="s">
        <v>27</v>
      </c>
      <c r="I118" s="26"/>
      <c r="J118" s="26"/>
      <c r="K118" s="26"/>
      <c r="L118" s="26"/>
      <c r="M118" s="26"/>
      <c r="N118" s="26"/>
      <c r="O118" s="26"/>
      <c r="P118" s="26"/>
      <c r="Q118" s="26"/>
      <c r="R118" s="26"/>
      <c r="S118" s="26"/>
      <c r="T118" s="26"/>
      <c r="U118" s="26"/>
      <c r="V118" s="26"/>
      <c r="W118" s="26"/>
      <c r="X118" s="26"/>
      <c r="Y118" s="26"/>
      <c r="Z118" s="26"/>
    </row>
    <row r="119" ht="15.75" customHeight="1">
      <c r="A119" s="64">
        <v>19.0</v>
      </c>
      <c r="B119" s="62" t="str">
        <f>IFERROR(__xludf.DUMMYFUNCTION("AI(""Fill an appropriate value for this cell based on the table context"")"),"Team4")</f>
        <v>Team4</v>
      </c>
      <c r="C119" s="65" t="s">
        <v>113</v>
      </c>
      <c r="D119" s="63" t="s">
        <v>63</v>
      </c>
      <c r="E119" s="60" t="s">
        <v>24</v>
      </c>
      <c r="F119" s="63" t="str">
        <f>IFERROR(__xludf.DUMMYFUNCTION("AI(""Fill an appropriate value for this cell based on the table context"")"),"=AI(""Fill an appropriate value for this cell based on the table context"")")</f>
        <v>=AI("Fill an appropriate value for this cell based on the table context")</v>
      </c>
      <c r="G119" s="63" t="str">
        <f>IFERROR(__xludf.DUMMYFUNCTION("AI(""Fill an appropriate value for this cell based on the table context"")"),"=AI(""Fill an appropriate value for this cell based on the table context"")")</f>
        <v>=AI("Fill an appropriate value for this cell based on the table context")</v>
      </c>
      <c r="H119" s="66" t="s">
        <v>26</v>
      </c>
      <c r="I119" s="26"/>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64">
        <v>20.0</v>
      </c>
      <c r="B121" s="62" t="str">
        <f>IFERROR(__xludf.DUMMYFUNCTION("AI(""Fill an appropriate value for this cell based on the table context"")"),"Team4")</f>
        <v>Team4</v>
      </c>
      <c r="C121" s="65" t="s">
        <v>114</v>
      </c>
      <c r="D121" s="63" t="s">
        <v>63</v>
      </c>
      <c r="E121" s="60" t="s">
        <v>26</v>
      </c>
      <c r="F121" s="63" t="str">
        <f>IFERROR(__xludf.DUMMYFUNCTION("AI(""Fill an appropriate value for this cell based on the table context"")"),"=AI(""Fill an appropriate value for this cell based on the table context"")")</f>
        <v>=AI("Fill an appropriate value for this cell based on the table context")</v>
      </c>
      <c r="G121" s="63" t="str">
        <f>IFERROR(__xludf.DUMMYFUNCTION("AI(""Fill an appropriate value for this cell based on the table context"")"),"=AI(""Fill an appropriate value for this cell based on the table context"")")</f>
        <v>=AI("Fill an appropriate value for this cell based on the table context")</v>
      </c>
      <c r="H121" s="66" t="s">
        <v>85</v>
      </c>
      <c r="I121" s="26"/>
      <c r="J121" s="26"/>
      <c r="K121" s="26"/>
      <c r="L121" s="26"/>
      <c r="M121" s="26"/>
      <c r="N121" s="26"/>
      <c r="O121" s="26"/>
      <c r="P121" s="26"/>
      <c r="Q121" s="26"/>
      <c r="R121" s="26"/>
      <c r="S121" s="26"/>
      <c r="T121" s="26"/>
      <c r="U121" s="26"/>
      <c r="V121" s="26"/>
      <c r="W121" s="26"/>
      <c r="X121" s="26"/>
      <c r="Y121" s="26"/>
      <c r="Z121" s="26"/>
    </row>
    <row r="122" ht="15.75" customHeight="1">
      <c r="A122" s="64">
        <v>20.0</v>
      </c>
      <c r="B122" s="62" t="str">
        <f>IFERROR(__xludf.DUMMYFUNCTION("AI(""Fill an appropriate value for this cell based on the table context"")"),"Team4")</f>
        <v>Team4</v>
      </c>
      <c r="C122" s="65" t="s">
        <v>114</v>
      </c>
      <c r="D122" s="63" t="s">
        <v>63</v>
      </c>
      <c r="E122" s="60" t="s">
        <v>27</v>
      </c>
      <c r="F122" s="63" t="str">
        <f>IFERROR(__xludf.DUMMYFUNCTION("AI(""Fill an appropriate value for this cell based on the table context"")"),"=AI(""Fill an appropriate value for this cell based on the table context"")")</f>
        <v>=AI("Fill an appropriate value for this cell based on the table context")</v>
      </c>
      <c r="G122" s="63" t="str">
        <f>IFERROR(__xludf.DUMMYFUNCTION("AI(""Fill an appropriate value for this cell based on the table context"")"),"=AI(""Fill an appropriate value for this cell based on the table context"")")</f>
        <v>=AI("Fill an appropriate value for this cell based on the table context")</v>
      </c>
      <c r="H122" s="66" t="s">
        <v>24</v>
      </c>
      <c r="I122" s="26"/>
      <c r="J122" s="26"/>
      <c r="K122" s="26"/>
      <c r="L122" s="26"/>
      <c r="M122" s="26"/>
      <c r="N122" s="26"/>
      <c r="O122" s="26"/>
      <c r="P122" s="26"/>
      <c r="Q122" s="26"/>
      <c r="R122" s="26"/>
      <c r="S122" s="26"/>
      <c r="T122" s="26"/>
      <c r="U122" s="26"/>
      <c r="V122" s="26"/>
      <c r="W122" s="26"/>
      <c r="X122" s="26"/>
      <c r="Y122" s="26"/>
      <c r="Z122" s="26"/>
    </row>
    <row r="123" ht="15.75" customHeight="1">
      <c r="A123" s="64">
        <v>20.0</v>
      </c>
      <c r="B123" s="62" t="str">
        <f>IFERROR(__xludf.DUMMYFUNCTION("AI(""Fill an appropriate value for this cell based on the table context"")"),"Team4")</f>
        <v>Team4</v>
      </c>
      <c r="C123" s="65" t="s">
        <v>114</v>
      </c>
      <c r="D123" s="63" t="s">
        <v>63</v>
      </c>
      <c r="E123" s="60" t="s">
        <v>22</v>
      </c>
      <c r="F123" s="63" t="str">
        <f>IFERROR(__xludf.DUMMYFUNCTION("AI(""Fill an appropriate value for this cell based on the table context"")"),"=AI(""Fill an appropriate value for this cell based on the table context"")")</f>
        <v>=AI("Fill an appropriate value for this cell based on the table context")</v>
      </c>
      <c r="G123" s="63" t="str">
        <f>IFERROR(__xludf.DUMMYFUNCTION("AI(""Fill an appropriate value for this cell based on the table context"")"),"=AI(""Fill an appropriate value for this cell based on the table context"")")</f>
        <v>=AI("Fill an appropriate value for this cell based on the table context")</v>
      </c>
      <c r="H123" s="66" t="s">
        <v>83</v>
      </c>
      <c r="I123" s="26"/>
      <c r="J123" s="26"/>
      <c r="K123" s="26"/>
      <c r="L123" s="26"/>
      <c r="M123" s="26"/>
      <c r="N123" s="26"/>
      <c r="O123" s="26"/>
      <c r="P123" s="26"/>
      <c r="Q123" s="26"/>
      <c r="R123" s="26"/>
      <c r="S123" s="26"/>
      <c r="T123" s="26"/>
      <c r="U123" s="26"/>
      <c r="V123" s="26"/>
      <c r="W123" s="26"/>
      <c r="X123" s="26"/>
      <c r="Y123" s="26"/>
      <c r="Z123" s="26"/>
    </row>
    <row r="124" ht="15.75" customHeight="1">
      <c r="A124" s="64">
        <v>20.0</v>
      </c>
      <c r="B124" s="62" t="str">
        <f>IFERROR(__xludf.DUMMYFUNCTION("AI(""Fill an appropriate value for this cell based on the table context"")"),"Team4")</f>
        <v>Team4</v>
      </c>
      <c r="C124" s="65" t="s">
        <v>114</v>
      </c>
      <c r="D124" s="63" t="s">
        <v>63</v>
      </c>
      <c r="E124" s="60" t="s">
        <v>25</v>
      </c>
      <c r="F124" s="63" t="str">
        <f>IFERROR(__xludf.DUMMYFUNCTION("AI(""Fill an appropriate value for this cell based on the table context"")"),"=AI(""Fill an appropriate value for this cell based on the table context"")")</f>
        <v>=AI("Fill an appropriate value for this cell based on the table context")</v>
      </c>
      <c r="G124" s="63" t="str">
        <f>IFERROR(__xludf.DUMMYFUNCTION("AI(""Fill an appropriate value for this cell based on the table context"")"),"=AI(""Fill an appropriate value for this cell based on the table context"")")</f>
        <v>=AI("Fill an appropriate value for this cell based on the table context")</v>
      </c>
      <c r="H124" s="66" t="s">
        <v>22</v>
      </c>
      <c r="I124" s="26"/>
      <c r="J124" s="26"/>
      <c r="K124" s="26"/>
      <c r="L124" s="26"/>
      <c r="M124" s="26"/>
      <c r="N124" s="26"/>
      <c r="O124" s="26"/>
      <c r="P124" s="26"/>
      <c r="Q124" s="26"/>
      <c r="R124" s="26"/>
      <c r="S124" s="26"/>
      <c r="T124" s="26"/>
      <c r="U124" s="26"/>
      <c r="V124" s="26"/>
      <c r="W124" s="26"/>
      <c r="X124" s="26"/>
      <c r="Y124" s="26"/>
      <c r="Z124" s="26"/>
    </row>
    <row r="125" ht="15.75" customHeight="1">
      <c r="A125" s="64">
        <v>20.0</v>
      </c>
      <c r="B125" s="62" t="str">
        <f>IFERROR(__xludf.DUMMYFUNCTION("AI(""Fill an appropriate value for this cell based on the table context"")"),"Team4")</f>
        <v>Team4</v>
      </c>
      <c r="C125" s="65" t="s">
        <v>114</v>
      </c>
      <c r="D125" s="63" t="s">
        <v>63</v>
      </c>
      <c r="E125" s="60" t="s">
        <v>83</v>
      </c>
      <c r="F125" s="63" t="str">
        <f>IFERROR(__xludf.DUMMYFUNCTION("AI(""Fill an appropriate value for this cell based on the table context"")"),"=AI(""Fill an appropriate value for this cell based on the table context"")")</f>
        <v>=AI("Fill an appropriate value for this cell based on the table context")</v>
      </c>
      <c r="G125" s="63" t="str">
        <f>IFERROR(__xludf.DUMMYFUNCTION("AI(""Fill an appropriate value for this cell based on the table context"")"),"=AI(""Fill an appropriate value for this cell based on the table context"")")</f>
        <v>=AI("Fill an appropriate value for this cell based on the table context")</v>
      </c>
      <c r="H125" s="66" t="s">
        <v>27</v>
      </c>
      <c r="I125" s="26"/>
      <c r="J125" s="26"/>
      <c r="K125" s="26"/>
      <c r="L125" s="26"/>
      <c r="M125" s="26"/>
      <c r="N125" s="26"/>
      <c r="O125" s="26"/>
      <c r="P125" s="26"/>
      <c r="Q125" s="26"/>
      <c r="R125" s="26"/>
      <c r="S125" s="26"/>
      <c r="T125" s="26"/>
      <c r="U125" s="26"/>
      <c r="V125" s="26"/>
      <c r="W125" s="26"/>
      <c r="X125" s="26"/>
      <c r="Y125" s="26"/>
      <c r="Z125" s="26"/>
    </row>
    <row r="126" ht="15.75" customHeight="1">
      <c r="A126" s="64">
        <v>20.0</v>
      </c>
      <c r="B126" s="62" t="str">
        <f>IFERROR(__xludf.DUMMYFUNCTION("AI(""Fill an appropriate value for this cell based on the table context"")"),"Team4")</f>
        <v>Team4</v>
      </c>
      <c r="C126" s="65" t="s">
        <v>114</v>
      </c>
      <c r="D126" s="63" t="s">
        <v>63</v>
      </c>
      <c r="E126" s="60" t="s">
        <v>24</v>
      </c>
      <c r="F126" s="63" t="str">
        <f>IFERROR(__xludf.DUMMYFUNCTION("AI(""Fill an appropriate value for this cell based on the table context"")"),"=AI(""Fill an appropriate value for this cell based on the table context"")")</f>
        <v>=AI("Fill an appropriate value for this cell based on the table context")</v>
      </c>
      <c r="G126" s="63" t="str">
        <f>IFERROR(__xludf.DUMMYFUNCTION("AI(""Fill an appropriate value for this cell based on the table context"")"),"=AI(""Fill an appropriate value for this cell based on the table context"")")</f>
        <v>=AI("Fill an appropriate value for this cell based on the table context")</v>
      </c>
      <c r="H126" s="66" t="s">
        <v>26</v>
      </c>
      <c r="I126" s="26"/>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ataValidations>
    <dataValidation type="list" allowBlank="1" showErrorMessage="1" sqref="G2:G49">
      <formula1>"Backlog,To Do,In Progress,Code Review,Done,Blocked"</formula1>
    </dataValidation>
  </dataValidations>
  <printOptions/>
  <pageMargins bottom="0.75" footer="0.0" header="0.0" left="0.7" right="0.7" top="0.75"/>
  <pageSetup orientation="landscape"/>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5.14"/>
    <col customWidth="1" min="2" max="2" width="11.57"/>
    <col customWidth="1" min="3" max="3" width="10.0"/>
    <col customWidth="1" min="4" max="4" width="12.86"/>
    <col customWidth="1" min="5" max="5" width="24.43"/>
    <col customWidth="1" min="6" max="26" width="12.57"/>
  </cols>
  <sheetData>
    <row r="1" ht="14.25" customHeight="1">
      <c r="A1" s="14" t="s">
        <v>30</v>
      </c>
      <c r="B1" s="14" t="s">
        <v>31</v>
      </c>
      <c r="C1" s="14" t="s">
        <v>32</v>
      </c>
      <c r="D1" s="14" t="s">
        <v>33</v>
      </c>
      <c r="E1" s="14" t="s">
        <v>34</v>
      </c>
      <c r="F1" s="7"/>
      <c r="G1" s="7"/>
      <c r="H1" s="7"/>
      <c r="I1" s="7"/>
      <c r="J1" s="7"/>
      <c r="K1" s="7"/>
      <c r="L1" s="7"/>
      <c r="M1" s="7"/>
      <c r="N1" s="7"/>
      <c r="O1" s="7"/>
      <c r="P1" s="7"/>
      <c r="Q1" s="7"/>
      <c r="R1" s="7"/>
      <c r="S1" s="7"/>
      <c r="T1" s="7"/>
      <c r="U1" s="7"/>
      <c r="V1" s="7"/>
      <c r="W1" s="7"/>
      <c r="X1" s="7"/>
      <c r="Y1" s="7"/>
      <c r="Z1" s="7"/>
    </row>
    <row r="2" ht="14.25" customHeight="1">
      <c r="A2" s="67" t="s">
        <v>115</v>
      </c>
      <c r="B2" s="67" t="s">
        <v>116</v>
      </c>
      <c r="C2" s="17">
        <v>46076.0</v>
      </c>
      <c r="D2" s="17">
        <v>46074.0</v>
      </c>
      <c r="E2" s="67" t="s">
        <v>117</v>
      </c>
      <c r="F2" s="7"/>
      <c r="G2" s="7"/>
      <c r="H2" s="7"/>
      <c r="I2" s="7"/>
      <c r="J2" s="7"/>
      <c r="K2" s="7"/>
      <c r="L2" s="7"/>
      <c r="M2" s="7"/>
      <c r="N2" s="7"/>
      <c r="O2" s="7"/>
      <c r="P2" s="7"/>
      <c r="Q2" s="7"/>
      <c r="R2" s="7"/>
      <c r="S2" s="7"/>
      <c r="T2" s="7"/>
      <c r="U2" s="7"/>
      <c r="V2" s="7"/>
      <c r="W2" s="7"/>
      <c r="X2" s="7"/>
      <c r="Y2" s="7"/>
      <c r="Z2" s="7"/>
    </row>
    <row r="3" ht="14.25" customHeight="1">
      <c r="A3" s="67" t="s">
        <v>118</v>
      </c>
      <c r="B3" s="67" t="s">
        <v>119</v>
      </c>
      <c r="C3" s="17">
        <v>46077.0</v>
      </c>
      <c r="D3" s="17">
        <v>46081.0</v>
      </c>
      <c r="E3" s="67" t="s">
        <v>120</v>
      </c>
      <c r="F3" s="7"/>
      <c r="G3" s="7"/>
      <c r="H3" s="7"/>
      <c r="I3" s="7"/>
      <c r="J3" s="7"/>
      <c r="K3" s="7"/>
      <c r="L3" s="7"/>
      <c r="M3" s="7"/>
      <c r="N3" s="7"/>
      <c r="O3" s="7"/>
      <c r="P3" s="7"/>
      <c r="Q3" s="7"/>
      <c r="R3" s="7"/>
      <c r="S3" s="7"/>
      <c r="T3" s="7"/>
      <c r="U3" s="7"/>
      <c r="V3" s="7"/>
      <c r="W3" s="7"/>
      <c r="X3" s="7"/>
      <c r="Y3" s="7"/>
      <c r="Z3" s="7"/>
    </row>
    <row r="4" ht="14.25" customHeight="1">
      <c r="A4" s="67" t="s">
        <v>121</v>
      </c>
      <c r="B4" s="67" t="s">
        <v>122</v>
      </c>
      <c r="C4" s="17">
        <v>46084.0</v>
      </c>
      <c r="D4" s="17">
        <v>46088.0</v>
      </c>
      <c r="E4" s="67" t="s">
        <v>123</v>
      </c>
      <c r="F4" s="7"/>
      <c r="G4" s="7"/>
      <c r="H4" s="7"/>
      <c r="I4" s="7"/>
      <c r="J4" s="7"/>
      <c r="K4" s="7"/>
      <c r="L4" s="7"/>
      <c r="M4" s="7"/>
      <c r="N4" s="7"/>
      <c r="O4" s="7"/>
      <c r="P4" s="7"/>
      <c r="Q4" s="7"/>
      <c r="R4" s="7"/>
      <c r="S4" s="7"/>
      <c r="T4" s="7"/>
      <c r="U4" s="7"/>
      <c r="V4" s="7"/>
      <c r="W4" s="7"/>
      <c r="X4" s="7"/>
      <c r="Y4" s="7"/>
      <c r="Z4" s="7"/>
    </row>
    <row r="5" ht="14.25" customHeight="1">
      <c r="A5" s="67" t="s">
        <v>124</v>
      </c>
      <c r="B5" s="67" t="s">
        <v>125</v>
      </c>
      <c r="C5" s="17">
        <v>46091.0</v>
      </c>
      <c r="D5" s="17">
        <v>46095.0</v>
      </c>
      <c r="E5" s="67" t="s">
        <v>126</v>
      </c>
      <c r="F5" s="7"/>
      <c r="G5" s="7"/>
      <c r="H5" s="7"/>
      <c r="I5" s="7"/>
      <c r="J5" s="7"/>
      <c r="K5" s="7"/>
      <c r="L5" s="7"/>
      <c r="M5" s="7"/>
      <c r="N5" s="7"/>
      <c r="O5" s="7"/>
      <c r="P5" s="7"/>
      <c r="Q5" s="7"/>
      <c r="R5" s="7"/>
      <c r="S5" s="7"/>
      <c r="T5" s="7"/>
      <c r="U5" s="7"/>
      <c r="V5" s="7"/>
      <c r="W5" s="7"/>
      <c r="X5" s="7"/>
      <c r="Y5" s="7"/>
      <c r="Z5" s="7"/>
    </row>
    <row r="6" ht="14.25" customHeight="1">
      <c r="A6" s="68"/>
      <c r="B6" s="68"/>
      <c r="C6" s="68"/>
      <c r="D6" s="68"/>
      <c r="E6" s="68"/>
      <c r="F6" s="7"/>
      <c r="G6" s="7"/>
      <c r="H6" s="7"/>
      <c r="I6" s="7"/>
      <c r="J6" s="7"/>
      <c r="K6" s="7"/>
      <c r="L6" s="7"/>
      <c r="M6" s="7"/>
      <c r="N6" s="7"/>
      <c r="O6" s="7"/>
      <c r="P6" s="7"/>
      <c r="Q6" s="7"/>
      <c r="R6" s="7"/>
      <c r="S6" s="7"/>
      <c r="T6" s="7"/>
      <c r="U6" s="7"/>
      <c r="V6" s="7"/>
      <c r="W6" s="7"/>
      <c r="X6" s="7"/>
      <c r="Y6" s="7"/>
      <c r="Z6" s="7"/>
    </row>
    <row r="7" ht="14.25" customHeight="1">
      <c r="A7" s="69"/>
      <c r="B7" s="69"/>
      <c r="C7" s="69"/>
      <c r="D7" s="69"/>
      <c r="E7" s="69"/>
      <c r="F7" s="7"/>
      <c r="G7" s="7"/>
      <c r="H7" s="7"/>
      <c r="I7" s="7"/>
      <c r="J7" s="7"/>
      <c r="K7" s="7"/>
      <c r="L7" s="7"/>
      <c r="M7" s="7"/>
      <c r="N7" s="7"/>
      <c r="O7" s="7"/>
      <c r="P7" s="7"/>
      <c r="Q7" s="7"/>
      <c r="R7" s="7"/>
      <c r="S7" s="7"/>
      <c r="T7" s="7"/>
      <c r="U7" s="7"/>
      <c r="V7" s="7"/>
      <c r="W7" s="7"/>
      <c r="X7" s="7"/>
      <c r="Y7" s="7"/>
      <c r="Z7" s="7"/>
    </row>
    <row r="8" ht="14.25" customHeight="1">
      <c r="A8" s="69"/>
      <c r="B8" s="69"/>
      <c r="C8" s="69"/>
      <c r="D8" s="69"/>
      <c r="E8" s="69"/>
      <c r="F8" s="7"/>
      <c r="G8" s="7"/>
      <c r="H8" s="7"/>
      <c r="I8" s="7"/>
      <c r="J8" s="7"/>
      <c r="K8" s="7"/>
      <c r="L8" s="7"/>
      <c r="M8" s="7"/>
      <c r="N8" s="7"/>
      <c r="O8" s="7"/>
      <c r="P8" s="7"/>
      <c r="Q8" s="7"/>
      <c r="R8" s="7"/>
      <c r="S8" s="7"/>
      <c r="T8" s="7"/>
      <c r="U8" s="7"/>
      <c r="V8" s="7"/>
      <c r="W8" s="7"/>
      <c r="X8" s="7"/>
      <c r="Y8" s="7"/>
      <c r="Z8" s="7"/>
    </row>
    <row r="9" ht="14.25" customHeight="1">
      <c r="A9" s="69"/>
      <c r="B9" s="69"/>
      <c r="C9" s="69"/>
      <c r="D9" s="69"/>
      <c r="E9" s="69"/>
      <c r="F9" s="7"/>
      <c r="G9" s="7"/>
      <c r="H9" s="7"/>
      <c r="I9" s="7"/>
      <c r="J9" s="7"/>
      <c r="K9" s="7"/>
      <c r="L9" s="7"/>
      <c r="M9" s="7"/>
      <c r="N9" s="7"/>
      <c r="O9" s="7"/>
      <c r="P9" s="7"/>
      <c r="Q9" s="7"/>
      <c r="R9" s="7"/>
      <c r="S9" s="7"/>
      <c r="T9" s="7"/>
      <c r="U9" s="7"/>
      <c r="V9" s="7"/>
      <c r="W9" s="7"/>
      <c r="X9" s="7"/>
      <c r="Y9" s="7"/>
      <c r="Z9" s="7"/>
    </row>
    <row r="10" ht="14.25" customHeight="1">
      <c r="A10" s="69"/>
      <c r="B10" s="69"/>
      <c r="C10" s="69"/>
      <c r="D10" s="69"/>
      <c r="E10" s="69"/>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57"/>
    <col customWidth="1" min="2" max="2" width="12.86"/>
    <col customWidth="1" min="3" max="3" width="6.57"/>
    <col customWidth="1" min="4" max="4" width="29.86"/>
    <col customWidth="1" min="5" max="5" width="15.43"/>
    <col customWidth="1" min="6" max="6" width="11.57"/>
    <col customWidth="1" min="7" max="7" width="12.14"/>
    <col customWidth="1" min="8" max="8" width="6.57"/>
    <col customWidth="1" min="9" max="26" width="12.57"/>
  </cols>
  <sheetData>
    <row r="1" ht="25.5" customHeight="1">
      <c r="A1" s="70" t="s">
        <v>30</v>
      </c>
      <c r="B1" s="70" t="s">
        <v>11</v>
      </c>
      <c r="C1" s="70" t="s">
        <v>127</v>
      </c>
      <c r="D1" s="70" t="s">
        <v>128</v>
      </c>
      <c r="E1" s="70" t="s">
        <v>129</v>
      </c>
      <c r="F1" s="70" t="s">
        <v>130</v>
      </c>
      <c r="G1" s="70" t="s">
        <v>79</v>
      </c>
      <c r="H1" s="70" t="s">
        <v>80</v>
      </c>
      <c r="I1" s="7"/>
      <c r="J1" s="7"/>
      <c r="K1" s="7"/>
      <c r="L1" s="7"/>
      <c r="M1" s="7"/>
      <c r="N1" s="7"/>
      <c r="O1" s="7"/>
      <c r="P1" s="7"/>
      <c r="Q1" s="7"/>
      <c r="R1" s="7"/>
      <c r="S1" s="7"/>
      <c r="T1" s="7"/>
      <c r="U1" s="7"/>
      <c r="V1" s="7"/>
      <c r="W1" s="7"/>
      <c r="X1" s="7"/>
      <c r="Y1" s="7"/>
      <c r="Z1" s="7"/>
    </row>
    <row r="2" ht="36.0" customHeight="1">
      <c r="A2" s="67" t="s">
        <v>115</v>
      </c>
      <c r="B2" s="67" t="s">
        <v>131</v>
      </c>
      <c r="C2" s="67" t="s">
        <v>82</v>
      </c>
      <c r="D2" s="67" t="s">
        <v>132</v>
      </c>
      <c r="E2" s="67" t="s">
        <v>133</v>
      </c>
      <c r="F2" s="15">
        <v>3.0</v>
      </c>
      <c r="G2" s="67" t="s">
        <v>84</v>
      </c>
      <c r="H2" s="67" t="s">
        <v>134</v>
      </c>
      <c r="I2" s="7"/>
      <c r="J2" s="7"/>
      <c r="K2" s="7"/>
      <c r="L2" s="7"/>
      <c r="M2" s="7"/>
      <c r="N2" s="7"/>
      <c r="O2" s="7"/>
      <c r="P2" s="7"/>
      <c r="Q2" s="7"/>
      <c r="R2" s="7"/>
      <c r="S2" s="7"/>
      <c r="T2" s="7"/>
      <c r="U2" s="7"/>
      <c r="V2" s="7"/>
      <c r="W2" s="7"/>
      <c r="X2" s="7"/>
      <c r="Y2" s="7"/>
      <c r="Z2" s="7"/>
    </row>
    <row r="3" ht="25.5" customHeight="1">
      <c r="A3" s="67" t="s">
        <v>115</v>
      </c>
      <c r="B3" s="67" t="s">
        <v>131</v>
      </c>
      <c r="C3" s="67" t="s">
        <v>86</v>
      </c>
      <c r="D3" s="67" t="s">
        <v>135</v>
      </c>
      <c r="E3" s="67" t="s">
        <v>136</v>
      </c>
      <c r="F3" s="15">
        <v>2.0</v>
      </c>
      <c r="G3" s="67" t="s">
        <v>137</v>
      </c>
      <c r="H3" s="67" t="s">
        <v>133</v>
      </c>
      <c r="I3" s="7"/>
      <c r="J3" s="7"/>
      <c r="K3" s="7"/>
      <c r="L3" s="7"/>
      <c r="M3" s="7"/>
      <c r="N3" s="7"/>
      <c r="O3" s="7"/>
      <c r="P3" s="7"/>
      <c r="Q3" s="7"/>
      <c r="R3" s="7"/>
      <c r="S3" s="7"/>
      <c r="T3" s="7"/>
      <c r="U3" s="7"/>
      <c r="V3" s="7"/>
      <c r="W3" s="7"/>
      <c r="X3" s="7"/>
      <c r="Y3" s="7"/>
      <c r="Z3" s="7"/>
    </row>
    <row r="4" ht="25.5" customHeight="1">
      <c r="A4" s="67" t="s">
        <v>115</v>
      </c>
      <c r="B4" s="67" t="s">
        <v>131</v>
      </c>
      <c r="C4" s="67" t="s">
        <v>87</v>
      </c>
      <c r="D4" s="67" t="s">
        <v>138</v>
      </c>
      <c r="E4" s="67" t="s">
        <v>139</v>
      </c>
      <c r="F4" s="15">
        <v>3.0</v>
      </c>
      <c r="G4" s="67" t="s">
        <v>140</v>
      </c>
      <c r="H4" s="67" t="s">
        <v>134</v>
      </c>
      <c r="I4" s="7"/>
      <c r="J4" s="7"/>
      <c r="K4" s="7"/>
      <c r="L4" s="7"/>
      <c r="M4" s="7"/>
      <c r="N4" s="7"/>
      <c r="O4" s="7"/>
      <c r="P4" s="7"/>
      <c r="Q4" s="7"/>
      <c r="R4" s="7"/>
      <c r="S4" s="7"/>
      <c r="T4" s="7"/>
      <c r="U4" s="7"/>
      <c r="V4" s="7"/>
      <c r="W4" s="7"/>
      <c r="X4" s="7"/>
      <c r="Y4" s="7"/>
      <c r="Z4" s="7"/>
    </row>
    <row r="5" ht="25.5" customHeight="1">
      <c r="A5" s="67" t="s">
        <v>115</v>
      </c>
      <c r="B5" s="67" t="s">
        <v>141</v>
      </c>
      <c r="C5" s="67" t="s">
        <v>142</v>
      </c>
      <c r="D5" s="67" t="s">
        <v>143</v>
      </c>
      <c r="E5" s="67" t="s">
        <v>22</v>
      </c>
      <c r="F5" s="15">
        <v>3.0</v>
      </c>
      <c r="G5" s="67" t="s">
        <v>84</v>
      </c>
      <c r="H5" s="67" t="s">
        <v>134</v>
      </c>
      <c r="I5" s="7"/>
      <c r="J5" s="7"/>
      <c r="K5" s="7"/>
      <c r="L5" s="7"/>
      <c r="M5" s="7"/>
      <c r="N5" s="7"/>
      <c r="O5" s="7"/>
      <c r="P5" s="7"/>
      <c r="Q5" s="7"/>
      <c r="R5" s="7"/>
      <c r="S5" s="7"/>
      <c r="T5" s="7"/>
      <c r="U5" s="7"/>
      <c r="V5" s="7"/>
      <c r="W5" s="7"/>
      <c r="X5" s="7"/>
      <c r="Y5" s="7"/>
      <c r="Z5" s="7"/>
    </row>
    <row r="6" ht="25.5" customHeight="1">
      <c r="A6" s="67" t="s">
        <v>115</v>
      </c>
      <c r="B6" s="67" t="s">
        <v>141</v>
      </c>
      <c r="C6" s="67" t="s">
        <v>144</v>
      </c>
      <c r="D6" s="67" t="s">
        <v>145</v>
      </c>
      <c r="E6" s="67" t="s">
        <v>146</v>
      </c>
      <c r="F6" s="15">
        <v>5.0</v>
      </c>
      <c r="G6" s="67" t="s">
        <v>137</v>
      </c>
      <c r="H6" s="67" t="s">
        <v>22</v>
      </c>
      <c r="I6" s="7"/>
      <c r="J6" s="7"/>
      <c r="K6" s="7"/>
      <c r="L6" s="7"/>
      <c r="M6" s="7"/>
      <c r="N6" s="7"/>
      <c r="O6" s="7"/>
      <c r="P6" s="7"/>
      <c r="Q6" s="7"/>
      <c r="R6" s="7"/>
      <c r="S6" s="7"/>
      <c r="T6" s="7"/>
      <c r="U6" s="7"/>
      <c r="V6" s="7"/>
      <c r="W6" s="7"/>
      <c r="X6" s="7"/>
      <c r="Y6" s="7"/>
      <c r="Z6" s="7"/>
    </row>
    <row r="7" ht="25.5" customHeight="1">
      <c r="A7" s="67" t="s">
        <v>115</v>
      </c>
      <c r="B7" s="67" t="s">
        <v>141</v>
      </c>
      <c r="C7" s="67" t="s">
        <v>147</v>
      </c>
      <c r="D7" s="67" t="s">
        <v>148</v>
      </c>
      <c r="E7" s="67" t="s">
        <v>149</v>
      </c>
      <c r="F7" s="15">
        <v>2.0</v>
      </c>
      <c r="G7" s="67" t="s">
        <v>150</v>
      </c>
      <c r="H7" s="67" t="s">
        <v>151</v>
      </c>
      <c r="I7" s="7"/>
      <c r="J7" s="7"/>
      <c r="K7" s="7"/>
      <c r="L7" s="7"/>
      <c r="M7" s="7"/>
      <c r="N7" s="7"/>
      <c r="O7" s="7"/>
      <c r="P7" s="7"/>
      <c r="Q7" s="7"/>
      <c r="R7" s="7"/>
      <c r="S7" s="7"/>
      <c r="T7" s="7"/>
      <c r="U7" s="7"/>
      <c r="V7" s="7"/>
      <c r="W7" s="7"/>
      <c r="X7" s="7"/>
      <c r="Y7" s="7"/>
      <c r="Z7" s="7"/>
    </row>
    <row r="8" ht="25.5" customHeight="1">
      <c r="A8" s="67" t="s">
        <v>115</v>
      </c>
      <c r="B8" s="67" t="s">
        <v>152</v>
      </c>
      <c r="C8" s="67" t="s">
        <v>153</v>
      </c>
      <c r="D8" s="67" t="s">
        <v>154</v>
      </c>
      <c r="E8" s="67" t="s">
        <v>155</v>
      </c>
      <c r="F8" s="15">
        <v>5.0</v>
      </c>
      <c r="G8" s="67" t="s">
        <v>156</v>
      </c>
      <c r="H8" s="67" t="s">
        <v>134</v>
      </c>
      <c r="I8" s="7"/>
      <c r="J8" s="7"/>
      <c r="K8" s="7"/>
      <c r="L8" s="7"/>
      <c r="M8" s="7"/>
      <c r="N8" s="7"/>
      <c r="O8" s="7"/>
      <c r="P8" s="7"/>
      <c r="Q8" s="7"/>
      <c r="R8" s="7"/>
      <c r="S8" s="7"/>
      <c r="T8" s="7"/>
      <c r="U8" s="7"/>
      <c r="V8" s="7"/>
      <c r="W8" s="7"/>
      <c r="X8" s="7"/>
      <c r="Y8" s="7"/>
      <c r="Z8" s="7"/>
    </row>
    <row r="9" ht="25.5" customHeight="1">
      <c r="A9" s="67" t="s">
        <v>115</v>
      </c>
      <c r="B9" s="67" t="s">
        <v>152</v>
      </c>
      <c r="C9" s="67" t="s">
        <v>157</v>
      </c>
      <c r="D9" s="67" t="s">
        <v>158</v>
      </c>
      <c r="E9" s="67" t="s">
        <v>159</v>
      </c>
      <c r="F9" s="15">
        <v>5.0</v>
      </c>
      <c r="G9" s="67" t="s">
        <v>137</v>
      </c>
      <c r="H9" s="67" t="s">
        <v>155</v>
      </c>
      <c r="I9" s="7"/>
      <c r="J9" s="7"/>
      <c r="K9" s="7"/>
      <c r="L9" s="7"/>
      <c r="M9" s="7"/>
      <c r="N9" s="7"/>
      <c r="O9" s="7"/>
      <c r="P9" s="7"/>
      <c r="Q9" s="7"/>
      <c r="R9" s="7"/>
      <c r="S9" s="7"/>
      <c r="T9" s="7"/>
      <c r="U9" s="7"/>
      <c r="V9" s="7"/>
      <c r="W9" s="7"/>
      <c r="X9" s="7"/>
      <c r="Y9" s="7"/>
      <c r="Z9" s="7"/>
    </row>
    <row r="10" ht="25.5" customHeight="1">
      <c r="A10" s="67" t="s">
        <v>115</v>
      </c>
      <c r="B10" s="67" t="s">
        <v>17</v>
      </c>
      <c r="C10" s="67" t="s">
        <v>160</v>
      </c>
      <c r="D10" s="67" t="s">
        <v>161</v>
      </c>
      <c r="E10" s="67" t="s">
        <v>162</v>
      </c>
      <c r="F10" s="15">
        <v>8.0</v>
      </c>
      <c r="G10" s="67" t="s">
        <v>150</v>
      </c>
      <c r="H10" s="67" t="s">
        <v>134</v>
      </c>
      <c r="I10" s="7"/>
      <c r="J10" s="7"/>
      <c r="K10" s="7"/>
      <c r="L10" s="7"/>
      <c r="M10" s="7"/>
      <c r="N10" s="7"/>
      <c r="O10" s="7"/>
      <c r="P10" s="7"/>
      <c r="Q10" s="7"/>
      <c r="R10" s="7"/>
      <c r="S10" s="7"/>
      <c r="T10" s="7"/>
      <c r="U10" s="7"/>
      <c r="V10" s="7"/>
      <c r="W10" s="7"/>
      <c r="X10" s="7"/>
      <c r="Y10" s="7"/>
      <c r="Z10" s="7"/>
    </row>
    <row r="11" ht="25.5" customHeight="1">
      <c r="A11" s="67" t="s">
        <v>115</v>
      </c>
      <c r="B11" s="67" t="s">
        <v>17</v>
      </c>
      <c r="C11" s="67" t="s">
        <v>163</v>
      </c>
      <c r="D11" s="67" t="s">
        <v>164</v>
      </c>
      <c r="E11" s="67" t="s">
        <v>165</v>
      </c>
      <c r="F11" s="15">
        <v>5.0</v>
      </c>
      <c r="G11" s="67" t="s">
        <v>166</v>
      </c>
      <c r="H11" s="67" t="s">
        <v>151</v>
      </c>
      <c r="I11" s="7"/>
      <c r="J11" s="7"/>
      <c r="K11" s="7"/>
      <c r="L11" s="7"/>
      <c r="M11" s="7"/>
      <c r="N11" s="7"/>
      <c r="O11" s="7"/>
      <c r="P11" s="7"/>
      <c r="Q11" s="7"/>
      <c r="R11" s="7"/>
      <c r="S11" s="7"/>
      <c r="T11" s="7"/>
      <c r="U11" s="7"/>
      <c r="V11" s="7"/>
      <c r="W11" s="7"/>
      <c r="X11" s="7"/>
      <c r="Y11" s="7"/>
      <c r="Z11" s="7"/>
    </row>
    <row r="12" ht="25.5" customHeight="1">
      <c r="A12" s="8"/>
      <c r="B12" s="8"/>
      <c r="C12" s="8"/>
      <c r="D12" s="8"/>
      <c r="E12" s="8"/>
      <c r="F12" s="8"/>
      <c r="G12" s="8"/>
      <c r="H12" s="8"/>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2026-05-27T17:04:43Z</dcterms:created>
  <dc:creator>Suwetha Balasundaram(UST,IN)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2026-05-27T16:30:56Z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24378c76-d86f-4ff6-aaaf-84496d380937</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